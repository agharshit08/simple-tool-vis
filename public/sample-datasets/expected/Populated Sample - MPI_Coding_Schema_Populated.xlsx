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npreetsandhu/Downloads/"/>
    </mc:Choice>
  </mc:AlternateContent>
  <xr:revisionPtr revIDLastSave="0" documentId="8_{39C7B65A-7F1F-1544-9AB8-F09B008472BC}" xr6:coauthVersionLast="47" xr6:coauthVersionMax="47" xr10:uidLastSave="{00000000-0000-0000-0000-000000000000}"/>
  <bookViews>
    <workbookView xWindow="0" yWindow="740" windowWidth="29400" windowHeight="18380" tabRatio="500" activeTab="6" xr2:uid="{00000000-000D-0000-FFFF-FFFF00000000}"/>
  </bookViews>
  <sheets>
    <sheet name="Civil_Debt_Cases" sheetId="1" r:id="rId1"/>
    <sheet name="CodeBook_Systematized" sheetId="2" r:id="rId2"/>
    <sheet name="CodeBook_Raw" sheetId="3" r:id="rId3"/>
    <sheet name="Creditor_Debtor_Network" sheetId="4" r:id="rId4"/>
    <sheet name="Execution_Clusters_GIS" sheetId="5" r:id="rId5"/>
    <sheet name="Delay_Patterns_Analysis" sheetId="6" r:id="rId6"/>
    <sheet name="Summary_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7" l="1"/>
  <c r="B36" i="7"/>
  <c r="B35" i="7"/>
  <c r="B34" i="7"/>
  <c r="B33" i="7"/>
  <c r="B32" i="7"/>
  <c r="B28" i="7"/>
  <c r="B27" i="7"/>
  <c r="B26" i="7"/>
  <c r="B25" i="7"/>
  <c r="B24" i="7"/>
  <c r="B20" i="7"/>
  <c r="B19" i="7"/>
  <c r="B18" i="7"/>
  <c r="B17" i="7"/>
  <c r="B13" i="7"/>
  <c r="B12" i="7"/>
  <c r="B11" i="7"/>
  <c r="B10" i="7"/>
  <c r="B9" i="7"/>
  <c r="B8" i="7"/>
  <c r="B7" i="7"/>
  <c r="B6" i="7"/>
  <c r="B5" i="7"/>
</calcChain>
</file>

<file path=xl/sharedStrings.xml><?xml version="1.0" encoding="utf-8"?>
<sst xmlns="http://schemas.openxmlformats.org/spreadsheetml/2006/main" count="5351" uniqueCount="767">
  <si>
    <t>Case Identification</t>
  </si>
  <si>
    <t>Parties</t>
  </si>
  <si>
    <t>Filing &amp; Initiation</t>
  </si>
  <si>
    <t>Service of Process</t>
  </si>
  <si>
    <t>Adjudication Phase</t>
  </si>
  <si>
    <t>Execution Initiation</t>
  </si>
  <si>
    <t>Mode of Execution</t>
  </si>
  <si>
    <t>Execution Outcome</t>
  </si>
  <si>
    <t>Court Discretion &amp; Norms</t>
  </si>
  <si>
    <t>Case Trajectory</t>
  </si>
  <si>
    <t>Case_ID</t>
  </si>
  <si>
    <t>Province</t>
  </si>
  <si>
    <t>District</t>
  </si>
  <si>
    <t>Court_Name</t>
  </si>
  <si>
    <t>Court_Level</t>
  </si>
  <si>
    <t>Year_Filed</t>
  </si>
  <si>
    <t>Case_Type</t>
  </si>
  <si>
    <t>Claim_Value_Band</t>
  </si>
  <si>
    <t>Creditor_Type</t>
  </si>
  <si>
    <t>Creditor_Individual_or_Firm</t>
  </si>
  <si>
    <t>Debtor_Status</t>
  </si>
  <si>
    <t>Vakil_For_Creditor</t>
  </si>
  <si>
    <t>Vakil_For_Debtor</t>
  </si>
  <si>
    <t>Filing_Mode</t>
  </si>
  <si>
    <t>Filing_Notes</t>
  </si>
  <si>
    <t>Service_Attempted</t>
  </si>
  <si>
    <t>Service_Outcome</t>
  </si>
  <si>
    <t>Time_To_Service</t>
  </si>
  <si>
    <t>Defendant_Appeared</t>
  </si>
  <si>
    <t>Default</t>
  </si>
  <si>
    <t>Absconding_Noted</t>
  </si>
  <si>
    <t>Absconding_Description</t>
  </si>
  <si>
    <t>Number_of_Adjournments</t>
  </si>
  <si>
    <t>Adjournment_Cause_Main</t>
  </si>
  <si>
    <t>Decree_Type</t>
  </si>
  <si>
    <t>Time_To_Decree</t>
  </si>
  <si>
    <t>Execution_Filed</t>
  </si>
  <si>
    <t>Time_To_Execution</t>
  </si>
  <si>
    <t>Execution_Stayed</t>
  </si>
  <si>
    <t>Installments_Ordered</t>
  </si>
  <si>
    <t>Execution_Mode_Primary</t>
  </si>
  <si>
    <t>Land_Attached</t>
  </si>
  <si>
    <t>Auction_Ordered</t>
  </si>
  <si>
    <t>Auction_Conducted</t>
  </si>
  <si>
    <t>Valuation_Dispute</t>
  </si>
  <si>
    <t>Execution_Outcome</t>
  </si>
  <si>
    <t>Case_Closed</t>
  </si>
  <si>
    <t>Closure_Mode</t>
  </si>
  <si>
    <t>Customary_Norms_Referenced</t>
  </si>
  <si>
    <t>Revenue_Official_Involved</t>
  </si>
  <si>
    <t>Court_Defers_To_Custom</t>
  </si>
  <si>
    <t>Judicial_Discretion_Notes</t>
  </si>
  <si>
    <t>Procedural_Trajectory</t>
  </si>
  <si>
    <t>Analyst_Confidence</t>
  </si>
  <si>
    <t>Coding_Notes</t>
  </si>
  <si>
    <t>Unique ID (e.g. BOM_Poona_1878_034)</t>
  </si>
  <si>
    <t>Bombay / Punjab / Bengal / Madras</t>
  </si>
  <si>
    <t>District name</t>
  </si>
  <si>
    <t>Name of court</t>
  </si>
  <si>
    <t>Munsif / Subordinate Judge / District Judge</t>
  </si>
  <si>
    <t>Year plaint filed</t>
  </si>
  <si>
    <t>Debt / Mortgage / Mixed</t>
  </si>
  <si>
    <t>Low / Medium / High (define once in codebook)</t>
  </si>
  <si>
    <t>Moneylender / Merchant / Landlord / Firm</t>
  </si>
  <si>
    <t>Individual / Firm</t>
  </si>
  <si>
    <t>Cultivator / Tenant / Landholder</t>
  </si>
  <si>
    <t>Yes / No</t>
  </si>
  <si>
    <t>Single plaint / Batch filing</t>
  </si>
  <si>
    <t>Short free text (max 1–2 lines)</t>
  </si>
  <si>
    <t>Successful / Delayed / Failed</t>
  </si>
  <si>
    <t>&lt;1 month / 1–3 months / &gt;3 months</t>
  </si>
  <si>
    <t>Free text (verbatim wording if possible)</t>
  </si>
  <si>
    <t>Numeric</t>
  </si>
  <si>
    <t>Defendant absence / Creditor delay / Court</t>
  </si>
  <si>
    <t>Contested / Ex parte</t>
  </si>
  <si>
    <t>&lt;6 months / 6–18 months / &gt;18 months</t>
  </si>
  <si>
    <t>Cash / Moveables / Land</t>
  </si>
  <si>
    <t>Full recovery / Partial / Failed</t>
  </si>
  <si>
    <t>Satisfaction / Withdrawal / Abandonment</t>
  </si>
  <si>
    <t>Short free text</t>
  </si>
  <si>
    <t>Rapid enforcement / Delayed coercion / Procedural attrition / Negotiated exit / Jurisdictional evasion</t>
  </si>
  <si>
    <t>High / Medium / Low</t>
  </si>
  <si>
    <t>Free text (why you coded it this way)</t>
  </si>
  <si>
    <t>One row = one case = one procedural life-cycle.</t>
  </si>
  <si>
    <t xml:space="preserve">Judges </t>
  </si>
  <si>
    <t>Name /firm</t>
  </si>
  <si>
    <t>Name//firm</t>
  </si>
  <si>
    <t>“absconding to princely states” issue lives - as data, not theory.</t>
  </si>
  <si>
    <t xml:space="preserve">Debt imprisonment </t>
  </si>
  <si>
    <t>BOM_KOL_1874_001</t>
  </si>
  <si>
    <t>Bombay</t>
  </si>
  <si>
    <t>Kolaba</t>
  </si>
  <si>
    <t>Munsif Court, Kolaba</t>
  </si>
  <si>
    <t>Munsif</t>
  </si>
  <si>
    <t>Bond</t>
  </si>
  <si>
    <t>Low</t>
  </si>
  <si>
    <t>Merchant</t>
  </si>
  <si>
    <t>Individual</t>
  </si>
  <si>
    <t>Cultivator</t>
  </si>
  <si>
    <t>Yes</t>
  </si>
  <si>
    <t>Single plaint</t>
  </si>
  <si>
    <t>Successful</t>
  </si>
  <si>
    <t>&lt;1 month</t>
  </si>
  <si>
    <t>No</t>
  </si>
  <si>
    <t>Defendant absence</t>
  </si>
  <si>
    <t>Ex parte</t>
  </si>
  <si>
    <t>&lt;6 months</t>
  </si>
  <si>
    <t>6-18 months</t>
  </si>
  <si>
    <t>Land</t>
  </si>
  <si>
    <t>Partial</t>
  </si>
  <si>
    <t>Abandonment</t>
  </si>
  <si>
    <t>No customary deference noted</t>
  </si>
  <si>
    <t>Delayed coercion</t>
  </si>
  <si>
    <t>High</t>
  </si>
  <si>
    <t>Full case bundle present.</t>
  </si>
  <si>
    <t>BOM_RAT_1903_002</t>
  </si>
  <si>
    <t>Ratnagiri</t>
  </si>
  <si>
    <t>Munsif Court, Ratnagiri</t>
  </si>
  <si>
    <t>Debt</t>
  </si>
  <si>
    <t>Medium</t>
  </si>
  <si>
    <t>Moneylender</t>
  </si>
  <si>
    <t>Landholder</t>
  </si>
  <si>
    <t>Delayed</t>
  </si>
  <si>
    <t>&gt;3 months</t>
  </si>
  <si>
    <t>Reported absent in princely territory</t>
  </si>
  <si>
    <t>&gt;18 months</t>
  </si>
  <si>
    <t>Cash</t>
  </si>
  <si>
    <t>Failed</t>
  </si>
  <si>
    <t>Procedural attrition</t>
  </si>
  <si>
    <t>BOM_SHO_1905_003</t>
  </si>
  <si>
    <t>Sholapur</t>
  </si>
  <si>
    <t>Munsif Court, Sholapur</t>
  </si>
  <si>
    <t>Tenant</t>
  </si>
  <si>
    <t>Batch filing</t>
  </si>
  <si>
    <t>1-3 months</t>
  </si>
  <si>
    <t>Court congestion</t>
  </si>
  <si>
    <t>Contested</t>
  </si>
  <si>
    <t>Full recovery</t>
  </si>
  <si>
    <t>BOM_NAS_1893_004</t>
  </si>
  <si>
    <t>Nasik</t>
  </si>
  <si>
    <t>District Court, Nasik</t>
  </si>
  <si>
    <t>District Judge</t>
  </si>
  <si>
    <t>Mixed</t>
  </si>
  <si>
    <t>Landlord</t>
  </si>
  <si>
    <t>BOM_AHM_1918_005</t>
  </si>
  <si>
    <t>Ahmednagar</t>
  </si>
  <si>
    <t>Munsif Court, Ahmednagar</t>
  </si>
  <si>
    <t>Creditor delay</t>
  </si>
  <si>
    <t>Satisfaction</t>
  </si>
  <si>
    <t>BOM_KOL_1920_006</t>
  </si>
  <si>
    <t>District Court, Kolaba</t>
  </si>
  <si>
    <t>Mortgage</t>
  </si>
  <si>
    <t>Firm</t>
  </si>
  <si>
    <t>Jurisdictional evasion</t>
  </si>
  <si>
    <t>Case reconstructed from decree register; plaint missing.</t>
  </si>
  <si>
    <t>BOM_POO_1925_007</t>
  </si>
  <si>
    <t>Poona</t>
  </si>
  <si>
    <t>Munsif Court, Poona</t>
  </si>
  <si>
    <t>Proprietor</t>
  </si>
  <si>
    <t>Withdrawal</t>
  </si>
  <si>
    <t>Rapid enforcement</t>
  </si>
  <si>
    <t>BOM_NAS_1917_008</t>
  </si>
  <si>
    <t>Munsif Court, Nasik</t>
  </si>
  <si>
    <t>Trader</t>
  </si>
  <si>
    <t>Moveables</t>
  </si>
  <si>
    <t>BOM_SAT_1893_009</t>
  </si>
  <si>
    <t>Satara</t>
  </si>
  <si>
    <t>Court of the Sub. Judge, Satara</t>
  </si>
  <si>
    <t>Subordinate Judge</t>
  </si>
  <si>
    <t>Negotiated exit</t>
  </si>
  <si>
    <t>BOM_NAS_1865_010</t>
  </si>
  <si>
    <t>BOM_AHM_1907_011</t>
  </si>
  <si>
    <t>Court of the Sub. Judge, Ahmednagar</t>
  </si>
  <si>
    <t>BOM_SAT_1895_012</t>
  </si>
  <si>
    <t>Munsif Court, Satara</t>
  </si>
  <si>
    <t>Harvest</t>
  </si>
  <si>
    <t>BOM_AHM_1890_013</t>
  </si>
  <si>
    <t>BOM_NAS_1902_014</t>
  </si>
  <si>
    <t>BOM_NAS_1900_015</t>
  </si>
  <si>
    <t>BOM_KOL_1887_016</t>
  </si>
  <si>
    <t>BOM_RAT_1873_017</t>
  </si>
  <si>
    <t>Court of the Sub. Judge, Ratnagiri</t>
  </si>
  <si>
    <t>BOM_AHM_1895_018</t>
  </si>
  <si>
    <t>BOM_RAT_1909_019</t>
  </si>
  <si>
    <t>BOM_SAT_1901_020</t>
  </si>
  <si>
    <t>BOM_NAS_1874_021</t>
  </si>
  <si>
    <t>BOM_SAT_1906_022</t>
  </si>
  <si>
    <t>District Court, Satara</t>
  </si>
  <si>
    <t>BOM_NAS_1895_023</t>
  </si>
  <si>
    <t>BOM_AHM_1900_024</t>
  </si>
  <si>
    <t>BOM_POO_1892_025</t>
  </si>
  <si>
    <t>Court of the Sub. Judge, Poona</t>
  </si>
  <si>
    <t>BOM_RAT_1886_026</t>
  </si>
  <si>
    <t>District Court, Ratnagiri</t>
  </si>
  <si>
    <t>BOM_RAT_1896_027</t>
  </si>
  <si>
    <t>PUN_RAW_1915_028</t>
  </si>
  <si>
    <t>Punjab</t>
  </si>
  <si>
    <t>Rawalpindi</t>
  </si>
  <si>
    <t>District Court, Rawalpindi</t>
  </si>
  <si>
    <t>PUN_AMR_1884_029</t>
  </si>
  <si>
    <t>Amritsar</t>
  </si>
  <si>
    <t>District Court, Amritsar</t>
  </si>
  <si>
    <t>Applied customary interest cap (damdupat)</t>
  </si>
  <si>
    <t>PUN_MUL_1891_030</t>
  </si>
  <si>
    <t>Multan</t>
  </si>
  <si>
    <t>Court of the Sub. Judge, Multan</t>
  </si>
  <si>
    <t>PUN_RAW_1912_031</t>
  </si>
  <si>
    <t>Munsif Court, Rawalpindi</t>
  </si>
  <si>
    <t>PUN_HIS_1908_032</t>
  </si>
  <si>
    <t>Hissar</t>
  </si>
  <si>
    <t>Court of the Sub. Judge, Hissar</t>
  </si>
  <si>
    <t>PUN_LUD_1883_033</t>
  </si>
  <si>
    <t>Ludhiana</t>
  </si>
  <si>
    <t>Munsif Court, Ludhiana</t>
  </si>
  <si>
    <t>PUN_GUJ_1905_034</t>
  </si>
  <si>
    <t>Gujranwala</t>
  </si>
  <si>
    <t>District Court, Gujranwala</t>
  </si>
  <si>
    <t>PUN_LAH_1913_035</t>
  </si>
  <si>
    <t>Lahore</t>
  </si>
  <si>
    <t>Munsif Court, Lahore</t>
  </si>
  <si>
    <t>PUN_LUD_1893_036</t>
  </si>
  <si>
    <t>District Court, Ludhiana</t>
  </si>
  <si>
    <t>PUN_LUD_1879_037</t>
  </si>
  <si>
    <t>Court of the Sub. Judge, Ludhiana</t>
  </si>
  <si>
    <t>PUN_RAW_1886_038</t>
  </si>
  <si>
    <t>PUN_GUJ_1865_039</t>
  </si>
  <si>
    <t>PUN_HIS_1887_040</t>
  </si>
  <si>
    <t>PUN_MUL_1866_041</t>
  </si>
  <si>
    <t>PUN_GUJ_1911_042</t>
  </si>
  <si>
    <t>Munsif Court, Gujranwala</t>
  </si>
  <si>
    <t>PUN_MUL_1899_043</t>
  </si>
  <si>
    <t>Munsif Court, Multan</t>
  </si>
  <si>
    <t>PUN_GUJ_1914_044</t>
  </si>
  <si>
    <t>PUN_GUJ_1925_045</t>
  </si>
  <si>
    <t>PUN_LAH_1867_046</t>
  </si>
  <si>
    <t>Court of the Sub. Judge, Lahore</t>
  </si>
  <si>
    <t>PUN_AMR_1891_047</t>
  </si>
  <si>
    <t>PUN_LAH_1899_048</t>
  </si>
  <si>
    <t>District Court, Lahore</t>
  </si>
  <si>
    <t>PUN_GUJ_1864_049</t>
  </si>
  <si>
    <t>PUN_GUJ_1913_050</t>
  </si>
  <si>
    <t>PUN_LAH_1888_051</t>
  </si>
  <si>
    <t>PUN_HIS_1923_052</t>
  </si>
  <si>
    <t>District Court, Hissar</t>
  </si>
  <si>
    <t>PUN_AMR_1902_053</t>
  </si>
  <si>
    <t>Munsif Court, Amritsar</t>
  </si>
  <si>
    <t>PUN_LAH_1894_054</t>
  </si>
  <si>
    <t>BEN_FAR_1915_055</t>
  </si>
  <si>
    <t>Bengal</t>
  </si>
  <si>
    <t>Faridpur</t>
  </si>
  <si>
    <t>Court of the Sub. Judge, Faridpur</t>
  </si>
  <si>
    <t>BEN_FAR_1910_056</t>
  </si>
  <si>
    <t>BEN_MID_1897_057</t>
  </si>
  <si>
    <t>Midnapore</t>
  </si>
  <si>
    <t>Court of the Sub. Judge, Midnapore</t>
  </si>
  <si>
    <t>BEN_MID_1876_058</t>
  </si>
  <si>
    <t>MAD_TAN_1871_059</t>
  </si>
  <si>
    <t>Madras</t>
  </si>
  <si>
    <t>Tanjore</t>
  </si>
  <si>
    <t>District Court, Tanjore</t>
  </si>
  <si>
    <t>MAD_TAN_1918_060</t>
  </si>
  <si>
    <t>Munsif Court, Tanjore</t>
  </si>
  <si>
    <t>A. Case Identification</t>
  </si>
  <si>
    <t>Column</t>
  </si>
  <si>
    <t>Values</t>
  </si>
  <si>
    <t>Definition</t>
  </si>
  <si>
    <t>Text (auto)</t>
  </si>
  <si>
    <t>Unique identifier (Presidency_District_Year_Serial)</t>
  </si>
  <si>
    <t>Presidency</t>
  </si>
  <si>
    <t>Bombay / Punjab</t>
  </si>
  <si>
    <t>Jurisdictional unit for comparison</t>
  </si>
  <si>
    <t>Text</t>
  </si>
  <si>
    <t>District court location</t>
  </si>
  <si>
    <t>Munsif / Sub-Judge / District Judge</t>
  </si>
  <si>
    <t>Trial court level</t>
  </si>
  <si>
    <t>YYYY</t>
  </si>
  <si>
    <t>Year of initial filing</t>
  </si>
  <si>
    <t>Debt / Mortgage / Bond / Other</t>
  </si>
  <si>
    <t>Primary credit instrument</t>
  </si>
  <si>
    <t>B. Parties</t>
  </si>
  <si>
    <t>Moneylender / Bank / Trader / Landlord</t>
  </si>
  <si>
    <t>Social-institutional position</t>
  </si>
  <si>
    <t>Cultivator / Tenant / Proprietor</t>
  </si>
  <si>
    <t>Agrarian position</t>
  </si>
  <si>
    <t>Joint_Debtors</t>
  </si>
  <si>
    <t>Y/N</t>
  </si>
  <si>
    <t>Whether liability was collective</t>
  </si>
  <si>
    <t>Gendered_Party</t>
  </si>
  <si>
    <t>Y/N/Unknown</t>
  </si>
  <si>
    <t>Any female party involved</t>
  </si>
  <si>
    <t xml:space="preserve">C. Filing &amp; Service (start of Procedure) </t>
  </si>
  <si>
    <t>Service_Mode</t>
  </si>
  <si>
    <t>Personal / Substituted / Unserved</t>
  </si>
  <si>
    <t>How summons was effected</t>
  </si>
  <si>
    <t>Service_Delay</t>
  </si>
  <si>
    <t>0–30 / 31–90 / 90+ days</t>
  </si>
  <si>
    <t>Time from filing to service</t>
  </si>
  <si>
    <t>Appearance</t>
  </si>
  <si>
    <t>Appeared / Defaulted</t>
  </si>
  <si>
    <t>Defendant response</t>
  </si>
  <si>
    <t>D. Hearing &amp; Decree Formation</t>
  </si>
  <si>
    <t>Ex_Parte</t>
  </si>
  <si>
    <t>Decree without defendant</t>
  </si>
  <si>
    <t>Adjournments_Count</t>
  </si>
  <si>
    <t>Integer</t>
  </si>
  <si>
    <t>Total adjournments</t>
  </si>
  <si>
    <t>Evidence_Type</t>
  </si>
  <si>
    <t>Oral / Documentary / Mixed</t>
  </si>
  <si>
    <t>Nature of proof</t>
  </si>
  <si>
    <t>Money / Mortgage / Conditional</t>
  </si>
  <si>
    <t>Nature of decree</t>
  </si>
  <si>
    <t>Decree_Amount</t>
  </si>
  <si>
    <t>Amount decreed (Rs.)</t>
  </si>
  <si>
    <t>E. Execution Initiation &amp; Timing</t>
  </si>
  <si>
    <t>Execution_Application</t>
  </si>
  <si>
    <t>Whether execution sought</t>
  </si>
  <si>
    <t>Time_to_Execution</t>
  </si>
  <si>
    <t>&lt;6m / 6–12m / 12m+</t>
  </si>
  <si>
    <t>Delay post-decree</t>
  </si>
  <si>
    <t>Stay_or_Appeal</t>
  </si>
  <si>
    <t>Execution interrupted</t>
  </si>
  <si>
    <t>F. Attachment &amp; Sale</t>
  </si>
  <si>
    <t>Attachment_Type</t>
  </si>
  <si>
    <t>Land / Crops / Moveables</t>
  </si>
  <si>
    <t>Asset attached</t>
  </si>
  <si>
    <t>Valuation_Method</t>
  </si>
  <si>
    <t>Official / Private / Unknown</t>
  </si>
  <si>
    <t>How asset valued</t>
  </si>
  <si>
    <t>Auction_Held</t>
  </si>
  <si>
    <t>Sale conducted</t>
  </si>
  <si>
    <t>Buyer_Type</t>
  </si>
  <si>
    <t>Creditor / Local / Outsider</t>
  </si>
  <si>
    <t>Purchaser identity</t>
  </si>
  <si>
    <t>Sale_Confirmed</t>
  </si>
  <si>
    <t>Sale confirmation</t>
  </si>
  <si>
    <t>G. Interaction with Local Norms (Pluralism)</t>
  </si>
  <si>
    <t>Customary_Law_Invoked</t>
  </si>
  <si>
    <t>Any custom cited</t>
  </si>
  <si>
    <t>Damdupat_or_Cap</t>
  </si>
  <si>
    <t>Interest limitation applied</t>
  </si>
  <si>
    <t>Preemption_Claim</t>
  </si>
  <si>
    <t>Local claim against sale</t>
  </si>
  <si>
    <t>Panchayat_Reference</t>
  </si>
  <si>
    <t>Informal forum noted</t>
  </si>
  <si>
    <t>H. Case Outcome &amp; Interpretation</t>
  </si>
  <si>
    <t>Final_Outcome</t>
  </si>
  <si>
    <t>Paid / Sold / Dismissed</t>
  </si>
  <si>
    <t>Terminal result</t>
  </si>
  <si>
    <t>Land_Transferred</t>
  </si>
  <si>
    <t>Ownership change</t>
  </si>
  <si>
    <t>Procedural_Notes</t>
  </si>
  <si>
    <t>Short archival annotation</t>
  </si>
  <si>
    <t>COLUMN_NAME,ALLOWED_VALUES,DEFINITION</t>
  </si>
  <si>
    <t>Case_ID,Text,Unique identifier (Presidency_District_Year_Serial)</t>
  </si>
  <si>
    <t>Presidency,Bombay|Punjab,Jurisdiction of court</t>
  </si>
  <si>
    <t>District,Text,District where case was filed</t>
  </si>
  <si>
    <t>Court_Level,Munsif|Sub-Judge|District Judge,Trial court level</t>
  </si>
  <si>
    <t>Year_Filed,YYYY,Year of filing</t>
  </si>
  <si>
    <t>Case_Type,Debt|Mortgage|Bond|Other,Primary credit instrument</t>
  </si>
  <si>
    <t>Creditor_Type,Moneylender|Bank|Trader|Landlord|Other,Institutional position of creditor</t>
  </si>
  <si>
    <t>Debtor_Status,Cultivator|Tenant|Proprietor|Other,Agrarian status of debtor</t>
  </si>
  <si>
    <t>Joint_Debtors,Y|N,Multiple debtors involved</t>
  </si>
  <si>
    <t>Gendered_Party,Y|N|Unknown,Any female litigant involved</t>
  </si>
  <si>
    <t>Service_Mode,Personal|Substituted|Unserved,Method of service of summons</t>
  </si>
  <si>
    <t>Service_Delay,0-30|31-90|90+,Days between filing and service</t>
  </si>
  <si>
    <t>Appearance,Appeared|Defaulted,Defendant appearance status</t>
  </si>
  <si>
    <t>Ex_Parte,Y|N,Decree passed without defendant appearance</t>
  </si>
  <si>
    <t>Adjournments_Count,Integer,Total number of adjournments</t>
  </si>
  <si>
    <t>Evidence_Type,Oral|Documentary|Mixed,Form of evidence used</t>
  </si>
  <si>
    <t>Decree_Type,Money|Mortgage|Conditional,Nature of decree</t>
  </si>
  <si>
    <t>Decree_Amount,Numeric,Amount decreed (Rs.)</t>
  </si>
  <si>
    <t>Execution_Application,Y|N,Whether execution was sought</t>
  </si>
  <si>
    <t>Time_to_Execution,&lt;6m|6-12m|12m+,Delay between decree and execution</t>
  </si>
  <si>
    <t>Stay_or_Appeal,Y|N,Execution stayed or appealed</t>
  </si>
  <si>
    <t>Attachment_Type,Land|Crops|Moveables|None,Property attached</t>
  </si>
  <si>
    <t>Valuation_Method,Official|Private|Unknown,Method of valuation</t>
  </si>
  <si>
    <t>Auction_Held,Y|N,Whether auction was conducted</t>
  </si>
  <si>
    <t>Buyer_Type,Creditor|Local|Outsider|Unknown,Identity of purchaser</t>
  </si>
  <si>
    <t>Sale_Confirmed,Y|N,Sale confirmation by court</t>
  </si>
  <si>
    <t>Customary_Law_Invoked,Y|N,Any customary norm cited</t>
  </si>
  <si>
    <t>Damdupat_or_Cap,Y|N,Interest cap applied</t>
  </si>
  <si>
    <t>Preemption_Claim,Y|N,Pre-emption right asserted</t>
  </si>
  <si>
    <t>Edge_ID</t>
  </si>
  <si>
    <t>Source_Node (Creditor)</t>
  </si>
  <si>
    <t>Source_Type</t>
  </si>
  <si>
    <t>Source_Province</t>
  </si>
  <si>
    <t>Source_District</t>
  </si>
  <si>
    <t>Target_Node (Debtor)</t>
  </si>
  <si>
    <t>Target_Type</t>
  </si>
  <si>
    <t>Target_Province</t>
  </si>
  <si>
    <t>Target_District</t>
  </si>
  <si>
    <t>Year</t>
  </si>
  <si>
    <t>Claim_Value_Rs</t>
  </si>
  <si>
    <t>Decree_Obtained</t>
  </si>
  <si>
    <t>Execution_Mode</t>
  </si>
  <si>
    <t>Network_Weight</t>
  </si>
  <si>
    <t>Relationship_Type</t>
  </si>
  <si>
    <t>Notes</t>
  </si>
  <si>
    <t>EDGE_001</t>
  </si>
  <si>
    <t>Abdul Karim &amp; Co.</t>
  </si>
  <si>
    <t>Dharm Das Kahar</t>
  </si>
  <si>
    <t>Y</t>
  </si>
  <si>
    <t>N</t>
  </si>
  <si>
    <t>Recurring</t>
  </si>
  <si>
    <t>Imaginary data – for network visualisation (Gephi/Python)</t>
  </si>
  <si>
    <t>EDGE_002</t>
  </si>
  <si>
    <t>Tulsi Das Seth</t>
  </si>
  <si>
    <t>Shiv Dayal Jat</t>
  </si>
  <si>
    <t>Single transaction</t>
  </si>
  <si>
    <t>EDGE_003</t>
  </si>
  <si>
    <t>Girdhari Lal Mahajan</t>
  </si>
  <si>
    <t>Ishar Singh Kamboh</t>
  </si>
  <si>
    <t>EDGE_004</t>
  </si>
  <si>
    <t>Ratan Chand Kurmi</t>
  </si>
  <si>
    <t>EDGE_005</t>
  </si>
  <si>
    <t>Khushiram Tirath Ram</t>
  </si>
  <si>
    <t>Nand Ram Jat</t>
  </si>
  <si>
    <t>EDGE_006</t>
  </si>
  <si>
    <t>Hiramal Chandumal</t>
  </si>
  <si>
    <t>Hanumant Gopal Rao</t>
  </si>
  <si>
    <t>EDGE_007</t>
  </si>
  <si>
    <t>Bhiku Ramchandra Jadhav</t>
  </si>
  <si>
    <t>EDGE_008</t>
  </si>
  <si>
    <t>EDGE_009</t>
  </si>
  <si>
    <t>Nathulal Moolchand</t>
  </si>
  <si>
    <t>EDGE_010</t>
  </si>
  <si>
    <t>Ramchand Khemchand</t>
  </si>
  <si>
    <t>Gulab Singh Chamar</t>
  </si>
  <si>
    <t>EDGE_011</t>
  </si>
  <si>
    <t>Kalu Khan</t>
  </si>
  <si>
    <t>EDGE_012</t>
  </si>
  <si>
    <t>Teja Singh Maan</t>
  </si>
  <si>
    <t>EDGE_013</t>
  </si>
  <si>
    <t>EDGE_014</t>
  </si>
  <si>
    <t>Phool Chand Sonar</t>
  </si>
  <si>
    <t>EDGE_015</t>
  </si>
  <si>
    <t>Ramji Mal</t>
  </si>
  <si>
    <t>EDGE_016</t>
  </si>
  <si>
    <t>EDGE_017</t>
  </si>
  <si>
    <t>EDGE_018</t>
  </si>
  <si>
    <t>Bala Nand Kurmi</t>
  </si>
  <si>
    <t>EDGE_019</t>
  </si>
  <si>
    <t>EDGE_020</t>
  </si>
  <si>
    <t>EDGE_021</t>
  </si>
  <si>
    <t>EDGE_022</t>
  </si>
  <si>
    <t>EDGE_023</t>
  </si>
  <si>
    <t>EDGE_024</t>
  </si>
  <si>
    <t>EDGE_025</t>
  </si>
  <si>
    <t>Govind Yeshwant</t>
  </si>
  <si>
    <t>EDGE_026</t>
  </si>
  <si>
    <t>Gopaldas Trading Co.</t>
  </si>
  <si>
    <t>EDGE_027</t>
  </si>
  <si>
    <t>EDGE_028</t>
  </si>
  <si>
    <t>EDGE_029</t>
  </si>
  <si>
    <t>EDGE_030</t>
  </si>
  <si>
    <t>EDGE_031</t>
  </si>
  <si>
    <t>EDGE_032</t>
  </si>
  <si>
    <t>EDGE_033</t>
  </si>
  <si>
    <t>EDGE_034</t>
  </si>
  <si>
    <t>Fateh Chand Lala</t>
  </si>
  <si>
    <t>Kisan Vithal Patil</t>
  </si>
  <si>
    <t>EDGE_035</t>
  </si>
  <si>
    <t>EDGE_036</t>
  </si>
  <si>
    <t>EDGE_037</t>
  </si>
  <si>
    <t>EDGE_038</t>
  </si>
  <si>
    <t>Bhagwandas &amp; Sons</t>
  </si>
  <si>
    <t>EDGE_039</t>
  </si>
  <si>
    <t>EDGE_040</t>
  </si>
  <si>
    <t>EDGE_041</t>
  </si>
  <si>
    <t>EDGE_042</t>
  </si>
  <si>
    <t>EDGE_043</t>
  </si>
  <si>
    <t>EDGE_044</t>
  </si>
  <si>
    <t>EDGE_045</t>
  </si>
  <si>
    <t>EDGE_046</t>
  </si>
  <si>
    <t>EDGE_047</t>
  </si>
  <si>
    <t>EDGE_048</t>
  </si>
  <si>
    <t>EDGE_049</t>
  </si>
  <si>
    <t>EDGE_050</t>
  </si>
  <si>
    <t>EDGE_051</t>
  </si>
  <si>
    <t>EDGE_052</t>
  </si>
  <si>
    <t>EDGE_053</t>
  </si>
  <si>
    <t>EDGE_054</t>
  </si>
  <si>
    <t>EDGE_055</t>
  </si>
  <si>
    <t>EDGE_056</t>
  </si>
  <si>
    <t>EDGE_057</t>
  </si>
  <si>
    <t>EDGE_058</t>
  </si>
  <si>
    <t>EDGE_059</t>
  </si>
  <si>
    <t>EDGE_060</t>
  </si>
  <si>
    <t>EDGE_061</t>
  </si>
  <si>
    <t>EDGE_062</t>
  </si>
  <si>
    <t>EDGE_063</t>
  </si>
  <si>
    <t>EDGE_064</t>
  </si>
  <si>
    <t>EDGE_065</t>
  </si>
  <si>
    <t>EDGE_066</t>
  </si>
  <si>
    <t>EDGE_067</t>
  </si>
  <si>
    <t>EDGE_068</t>
  </si>
  <si>
    <t>EDGE_069</t>
  </si>
  <si>
    <t>EDGE_070</t>
  </si>
  <si>
    <t>EDGE_071</t>
  </si>
  <si>
    <t>EDGE_072</t>
  </si>
  <si>
    <t>EDGE_073</t>
  </si>
  <si>
    <t>EDGE_074</t>
  </si>
  <si>
    <t>EDGE_075</t>
  </si>
  <si>
    <t>EDGE_076</t>
  </si>
  <si>
    <t>EDGE_077</t>
  </si>
  <si>
    <t>EDGE_078</t>
  </si>
  <si>
    <t>EDGE_079</t>
  </si>
  <si>
    <t>EDGE_080</t>
  </si>
  <si>
    <t>Cluster_ID</t>
  </si>
  <si>
    <t>Taluka</t>
  </si>
  <si>
    <t>Approx_Lat</t>
  </si>
  <si>
    <t>Approx_Long</t>
  </si>
  <si>
    <t>Year_Range</t>
  </si>
  <si>
    <t>Auction_Count</t>
  </si>
  <si>
    <t>Land_Transferred_Acres</t>
  </si>
  <si>
    <t>Dominant_Buyer_Type</t>
  </si>
  <si>
    <t>Creditor_Concentration</t>
  </si>
  <si>
    <t>Avg_Sale_Price_Rs</t>
  </si>
  <si>
    <t>Execution_Density</t>
  </si>
  <si>
    <t>Distress_Index</t>
  </si>
  <si>
    <t>CLUST_001</t>
  </si>
  <si>
    <t>Haveli</t>
  </si>
  <si>
    <t>1875-1890</t>
  </si>
  <si>
    <t>Creditor</t>
  </si>
  <si>
    <t>Post-Deccan Famine cluster; concentrated moneylender acquisitions</t>
  </si>
  <si>
    <t>CLUST_002</t>
  </si>
  <si>
    <t>Maval</t>
  </si>
  <si>
    <t>1878-1895</t>
  </si>
  <si>
    <t>Local</t>
  </si>
  <si>
    <t>Moderate execution; some pre-emption claims recorded</t>
  </si>
  <si>
    <t>CLUST_003</t>
  </si>
  <si>
    <t>Shrigonda</t>
  </si>
  <si>
    <t>1880-1900</t>
  </si>
  <si>
    <t>Highest auction density; linked to irrigation failure</t>
  </si>
  <si>
    <t>CLUST_004</t>
  </si>
  <si>
    <t>Karjat</t>
  </si>
  <si>
    <t>1882-1898</t>
  </si>
  <si>
    <t>Outsider</t>
  </si>
  <si>
    <t>Mixed buyer profile; some village pre-emption successful</t>
  </si>
  <si>
    <t>CLUST_005</t>
  </si>
  <si>
    <t>Barshi</t>
  </si>
  <si>
    <t>1885-1910</t>
  </si>
  <si>
    <t>Railway corridor; commercial litigation elevated</t>
  </si>
  <si>
    <t>CLUST_006</t>
  </si>
  <si>
    <t>Mangalvedha</t>
  </si>
  <si>
    <t>1888-1905</t>
  </si>
  <si>
    <t>Low frequency; damdupat invoked in several cases</t>
  </si>
  <si>
    <t>CLUST_007</t>
  </si>
  <si>
    <t>Karad</t>
  </si>
  <si>
    <t>1870-1895</t>
  </si>
  <si>
    <t>Mortgage cluster following crop failure 1876-77</t>
  </si>
  <si>
    <t>CLUST_008</t>
  </si>
  <si>
    <t>Niphad</t>
  </si>
  <si>
    <t>1890-1915</t>
  </si>
  <si>
    <t>Outsider buyers from Bombay city in sale proclamations</t>
  </si>
  <si>
    <t>CLUST_009</t>
  </si>
  <si>
    <t>Pen</t>
  </si>
  <si>
    <t>1875-1900</t>
  </si>
  <si>
    <t>Lower credit intensity; some salt-land disputes</t>
  </si>
  <si>
    <t>CLUST_010</t>
  </si>
  <si>
    <t>Dapoli</t>
  </si>
  <si>
    <t>Marginal credit zone; remittance economy reduces distress</t>
  </si>
  <si>
    <t>CLUST_011</t>
  </si>
  <si>
    <t>Ajnala</t>
  </si>
  <si>
    <t>1880-1910</t>
  </si>
  <si>
    <t>Moneylender activity following 1901 Land Alienation Act</t>
  </si>
  <si>
    <t>CLUST_012</t>
  </si>
  <si>
    <t>Tarn Taran</t>
  </si>
  <si>
    <t>1885-1912</t>
  </si>
  <si>
    <t>Customary law deferred to; lower execution conversion</t>
  </si>
  <si>
    <t>CLUST_013</t>
  </si>
  <si>
    <t>Gujar Khan</t>
  </si>
  <si>
    <t>1882-1908</t>
  </si>
  <si>
    <t>Elevated enforcement; pre-emptive claims often overridden</t>
  </si>
  <si>
    <t>CLUST_014</t>
  </si>
  <si>
    <t>Attock</t>
  </si>
  <si>
    <t>1878-1905</t>
  </si>
  <si>
    <t>Revenue Commissioner intervened in several cases</t>
  </si>
  <si>
    <t>CLUST_015</t>
  </si>
  <si>
    <t>Kasur</t>
  </si>
  <si>
    <t>1883-1910</t>
  </si>
  <si>
    <t>Dense cluster; creditors include urban firms from Lahore</t>
  </si>
  <si>
    <t>CLUST_016</t>
  </si>
  <si>
    <t>Chunian</t>
  </si>
  <si>
    <t>1888-1912</t>
  </si>
  <si>
    <t>Outsider speculative buyers noted post-1900</t>
  </si>
  <si>
    <t>CLUST_017</t>
  </si>
  <si>
    <t>Shujabad</t>
  </si>
  <si>
    <t>1880-1905</t>
  </si>
  <si>
    <t>Riverine district; flood-related distress sales documented</t>
  </si>
  <si>
    <t>CLUST_018</t>
  </si>
  <si>
    <t>Lodhran</t>
  </si>
  <si>
    <t>1885-1908</t>
  </si>
  <si>
    <t>Low frequency; some cases settled extra-judicially</t>
  </si>
  <si>
    <t>CLUST_019</t>
  </si>
  <si>
    <t>Wazirabad</t>
  </si>
  <si>
    <t>High creditor concentration; repeat litigants across multiple cases</t>
  </si>
  <si>
    <t>CLUST_020</t>
  </si>
  <si>
    <t>Jagraon</t>
  </si>
  <si>
    <t>Evidence of panchayat mediation pre-filing</t>
  </si>
  <si>
    <t>CLUST_021</t>
  </si>
  <si>
    <t>Hansi</t>
  </si>
  <si>
    <t>Arid zone; execution linked to revenue default</t>
  </si>
  <si>
    <t>CLUST_022</t>
  </si>
  <si>
    <t>Ghatal</t>
  </si>
  <si>
    <t>Zamindari cluster; large mortgage decrees converted to land</t>
  </si>
  <si>
    <t>CLUST_023</t>
  </si>
  <si>
    <t>Burdwan</t>
  </si>
  <si>
    <t>Katwa</t>
  </si>
  <si>
    <t>1878-1900</t>
  </si>
  <si>
    <t>Jute economy; speculative buyers from Calcutta</t>
  </si>
  <si>
    <t>CLUST_024</t>
  </si>
  <si>
    <t>Madaripur</t>
  </si>
  <si>
    <t>Mixed tenure; pre-emption under Bengal Tenancy Act</t>
  </si>
  <si>
    <t>CLUST_025</t>
  </si>
  <si>
    <t>Kurnool</t>
  </si>
  <si>
    <t>Nandyal</t>
  </si>
  <si>
    <t>Ryotwari; execution linked to revenue arrears and crop failure</t>
  </si>
  <si>
    <t>CLUST_026</t>
  </si>
  <si>
    <t>Bellary</t>
  </si>
  <si>
    <t>Hospet</t>
  </si>
  <si>
    <t>Low density; mediation through revenue officials common</t>
  </si>
  <si>
    <t>Obs_ID</t>
  </si>
  <si>
    <t>Service_Delay_Days</t>
  </si>
  <si>
    <t>Time_To_Decree_Months</t>
  </si>
  <si>
    <t>Time_To_Execution_Months</t>
  </si>
  <si>
    <t>Total_Proceeding_Months</t>
  </si>
  <si>
    <t>Stay_Or_Appeal</t>
  </si>
  <si>
    <t>Delay_Category</t>
  </si>
  <si>
    <t>Delay_Driver</t>
  </si>
  <si>
    <t>Enforcement_Outcome</t>
  </si>
  <si>
    <t>OBS_001</t>
  </si>
  <si>
    <t>Protracted (24-48m)</t>
  </si>
  <si>
    <t>Appeals chain</t>
  </si>
  <si>
    <t>Imaginary obs.; province=Bombay</t>
  </si>
  <si>
    <t>OBS_002</t>
  </si>
  <si>
    <t>Illness/death</t>
  </si>
  <si>
    <t>Imaginary obs.; province=Punjab</t>
  </si>
  <si>
    <t>OBS_003</t>
  </si>
  <si>
    <t>Moderate (12-24m)</t>
  </si>
  <si>
    <t>OBS_004</t>
  </si>
  <si>
    <t>OBS_005</t>
  </si>
  <si>
    <t>OBS_006</t>
  </si>
  <si>
    <t>OBS_007</t>
  </si>
  <si>
    <t>OBS_008</t>
  </si>
  <si>
    <t>Jessore</t>
  </si>
  <si>
    <t>Revenue official delay</t>
  </si>
  <si>
    <t>Imaginary obs.; province=Bengal</t>
  </si>
  <si>
    <t>OBS_009</t>
  </si>
  <si>
    <t>Rapid (&lt;12m)</t>
  </si>
  <si>
    <t>OBS_010</t>
  </si>
  <si>
    <t>OBS_011</t>
  </si>
  <si>
    <t>OBS_012</t>
  </si>
  <si>
    <t>Imaginary obs.; province=Madras</t>
  </si>
  <si>
    <t>OBS_013</t>
  </si>
  <si>
    <t>OBS_014</t>
  </si>
  <si>
    <t>OBS_015</t>
  </si>
  <si>
    <t>Harvest adjournment</t>
  </si>
  <si>
    <t>OBS_016</t>
  </si>
  <si>
    <t>OBS_017</t>
  </si>
  <si>
    <t>OBS_018</t>
  </si>
  <si>
    <t>OBS_019</t>
  </si>
  <si>
    <t>OBS_020</t>
  </si>
  <si>
    <t>OBS_021</t>
  </si>
  <si>
    <t>OBS_022</t>
  </si>
  <si>
    <t>OBS_023</t>
  </si>
  <si>
    <t>OBS_024</t>
  </si>
  <si>
    <t>Extended (&gt;48m)</t>
  </si>
  <si>
    <t>OBS_025</t>
  </si>
  <si>
    <t>OBS_026</t>
  </si>
  <si>
    <t>OBS_027</t>
  </si>
  <si>
    <t>OBS_028</t>
  </si>
  <si>
    <t>OBS_029</t>
  </si>
  <si>
    <t>OBS_030</t>
  </si>
  <si>
    <t>OBS_031</t>
  </si>
  <si>
    <t>Coimbatore</t>
  </si>
  <si>
    <t>OBS_032</t>
  </si>
  <si>
    <t>OBS_033</t>
  </si>
  <si>
    <t>OBS_034</t>
  </si>
  <si>
    <t>Godavari</t>
  </si>
  <si>
    <t>OBS_035</t>
  </si>
  <si>
    <t>OBS_036</t>
  </si>
  <si>
    <t>OBS_037</t>
  </si>
  <si>
    <t>OBS_038</t>
  </si>
  <si>
    <t>OBS_039</t>
  </si>
  <si>
    <t>OBS_040</t>
  </si>
  <si>
    <t>OBS_041</t>
  </si>
  <si>
    <t>OBS_042</t>
  </si>
  <si>
    <t>OBS_043</t>
  </si>
  <si>
    <t>OBS_044</t>
  </si>
  <si>
    <t>Murshidabad</t>
  </si>
  <si>
    <t>OBS_045</t>
  </si>
  <si>
    <t>OBS_046</t>
  </si>
  <si>
    <t>OBS_047</t>
  </si>
  <si>
    <t>OBS_048</t>
  </si>
  <si>
    <t>OBS_049</t>
  </si>
  <si>
    <t>OBS_050</t>
  </si>
  <si>
    <t>OBS_051</t>
  </si>
  <si>
    <t>OBS_052</t>
  </si>
  <si>
    <t>OBS_053</t>
  </si>
  <si>
    <t>OBS_054</t>
  </si>
  <si>
    <t>OBS_055</t>
  </si>
  <si>
    <t>OBS_056</t>
  </si>
  <si>
    <t>OBS_057</t>
  </si>
  <si>
    <t>OBS_058</t>
  </si>
  <si>
    <t>OBS_059</t>
  </si>
  <si>
    <t>OBS_060</t>
  </si>
  <si>
    <t>OBS_061</t>
  </si>
  <si>
    <t>OBS_062</t>
  </si>
  <si>
    <t>OBS_063</t>
  </si>
  <si>
    <t>OBS_064</t>
  </si>
  <si>
    <t>OBS_065</t>
  </si>
  <si>
    <t>OBS_066</t>
  </si>
  <si>
    <t>OBS_067</t>
  </si>
  <si>
    <t>OBS_068</t>
  </si>
  <si>
    <t>OBS_069</t>
  </si>
  <si>
    <t>OBS_070</t>
  </si>
  <si>
    <t>OBS_071</t>
  </si>
  <si>
    <t>OBS_072</t>
  </si>
  <si>
    <t>OBS_073</t>
  </si>
  <si>
    <t>OBS_074</t>
  </si>
  <si>
    <t>OBS_075</t>
  </si>
  <si>
    <t>OBS_076</t>
  </si>
  <si>
    <t>OBS_077</t>
  </si>
  <si>
    <t>OBS_078</t>
  </si>
  <si>
    <t>OBS_079</t>
  </si>
  <si>
    <t>OBS_080</t>
  </si>
  <si>
    <t>OBS_081</t>
  </si>
  <si>
    <t>OBS_082</t>
  </si>
  <si>
    <t>OBS_083</t>
  </si>
  <si>
    <t>OBS_084</t>
  </si>
  <si>
    <t>OBS_085</t>
  </si>
  <si>
    <t>OBS_086</t>
  </si>
  <si>
    <t>OBS_087</t>
  </si>
  <si>
    <t>OBS_088</t>
  </si>
  <si>
    <t>OBS_089</t>
  </si>
  <si>
    <t>OBS_090</t>
  </si>
  <si>
    <t>MPI RESEARCH – PROCEDURAL DATASET: SUMMARY DASHBOARD</t>
  </si>
  <si>
    <t>NOTE: All data is imaginary / illustrative – populated for schema testing and visualisation purposes only</t>
  </si>
  <si>
    <t>A. CASE SAMPLE</t>
  </si>
  <si>
    <t>Total cases coded</t>
  </si>
  <si>
    <t>Bombay Presidency</t>
  </si>
  <si>
    <t>Punjab Presidency</t>
  </si>
  <si>
    <t>Bengal (triangulation)</t>
  </si>
  <si>
    <t>Madras (triangulation)</t>
  </si>
  <si>
    <t>Ex parte decrees</t>
  </si>
  <si>
    <t>Cases with land attached</t>
  </si>
  <si>
    <t>Auctions conducted</t>
  </si>
  <si>
    <t>Customary law invoked (Punjab cases)</t>
  </si>
  <si>
    <t>B. CREDITOR-DEBTOR NETWORK</t>
  </si>
  <si>
    <t>Total edges (transactions)</t>
  </si>
  <si>
    <t>Edges with land transferred</t>
  </si>
  <si>
    <t>Land execution mode</t>
  </si>
  <si>
    <t>Recurring relationships</t>
  </si>
  <si>
    <t>C. EXECUTION CLUSTERS / GIS</t>
  </si>
  <si>
    <t>Total clusters identified</t>
  </si>
  <si>
    <t>High-distress clusters</t>
  </si>
  <si>
    <t>Creditor-dominant buyer clusters</t>
  </si>
  <si>
    <t>Total auctions (all clusters)</t>
  </si>
  <si>
    <t>Total land transferred – acres</t>
  </si>
  <si>
    <t>D. DELAY PATTERNS</t>
  </si>
  <si>
    <t>Total delay observations</t>
  </si>
  <si>
    <t>Avg proceedings – Bombay (months)</t>
  </si>
  <si>
    <t>Avg proceedings – Punjab (months)</t>
  </si>
  <si>
    <t>Rapid cases (&lt;12m)</t>
  </si>
  <si>
    <t>Extended cases (&gt;48m)</t>
  </si>
  <si>
    <t>Ex parte share of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</si>
</sst>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2"/>
      <color theme="1"/>
      <name val="Aptos Narrow"/>
      <family val="2"/>
      <charset val="1"/>
    </font>
    <font>
      <sz val="14"/>
      <color rgb="FF000000"/>
      <name val="-webkit-standard"/>
      <charset val="1"/>
    </font>
    <font>
      <sz val="12"/>
      <color theme="1"/>
      <name val="-webkit-standard"/>
      <charset val="1"/>
    </font>
    <font>
      <sz val="12"/>
      <color rgb="FF000000"/>
      <name val="-webkit-standard"/>
      <charset val="1"/>
    </font>
    <font>
      <sz val="12"/>
      <color rgb="FF000000"/>
      <name val="Aptos Narrow"/>
    </font>
    <font>
      <sz val="10"/>
      <color rgb="FF000000"/>
      <name val="-webkit-standard"/>
      <charset val="1"/>
    </font>
    <font>
      <sz val="9"/>
      <name val="Arial"/>
      <family val="2"/>
    </font>
    <font>
      <sz val="14"/>
      <color theme="1"/>
      <name val="-webkit-standard"/>
      <charset val="1"/>
    </font>
    <font>
      <b/>
      <sz val="12"/>
      <color rgb="FF000000"/>
      <name val="-webkit-standard"/>
      <charset val="1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7B4F00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rgb="FFF5FF8D"/>
      </patternFill>
    </fill>
    <fill>
      <patternFill patternType="solid">
        <fgColor theme="5"/>
        <bgColor rgb="FFFF8080"/>
      </patternFill>
    </fill>
    <fill>
      <patternFill patternType="solid">
        <fgColor theme="9" tint="0.39988402966399123"/>
        <bgColor rgb="FFCCCCCC"/>
      </patternFill>
    </fill>
    <fill>
      <patternFill patternType="solid">
        <fgColor theme="7" tint="0.39988402966399123"/>
        <bgColor rgb="FF8ED973"/>
      </patternFill>
    </fill>
    <fill>
      <patternFill patternType="solid">
        <fgColor theme="8" tint="0.59987182226020086"/>
        <bgColor rgb="FFF6C6AD"/>
      </patternFill>
    </fill>
    <fill>
      <patternFill patternType="solid">
        <fgColor rgb="FF00FFDC"/>
        <bgColor rgb="FF00FFFF"/>
      </patternFill>
    </fill>
    <fill>
      <patternFill patternType="solid">
        <fgColor rgb="FFFFA700"/>
        <bgColor rgb="FFE97132"/>
      </patternFill>
    </fill>
    <fill>
      <patternFill patternType="solid">
        <fgColor rgb="FFFF0000"/>
        <bgColor rgb="FF800000"/>
      </patternFill>
    </fill>
    <fill>
      <patternFill patternType="solid">
        <fgColor theme="7" tint="-0.249977111117893"/>
        <bgColor rgb="FF008080"/>
      </patternFill>
    </fill>
    <fill>
      <patternFill patternType="solid">
        <fgColor rgb="FFFFFCDB"/>
        <bgColor rgb="FFFFF3CD"/>
      </patternFill>
    </fill>
    <fill>
      <patternFill patternType="solid">
        <fgColor theme="5" tint="0.59987182226020086"/>
        <bgColor rgb="FFCCCCCC"/>
      </patternFill>
    </fill>
    <fill>
      <patternFill patternType="solid">
        <fgColor theme="9" tint="0.79989013336588644"/>
        <bgColor rgb="FFD6E4F0"/>
      </patternFill>
    </fill>
    <fill>
      <patternFill patternType="solid">
        <fgColor theme="7" tint="0.79989013336588644"/>
        <bgColor rgb="FFC1E5F5"/>
      </patternFill>
    </fill>
    <fill>
      <patternFill patternType="solid">
        <fgColor rgb="FFFFE7FF"/>
        <bgColor rgb="FFEEF2F8"/>
      </patternFill>
    </fill>
    <fill>
      <patternFill patternType="solid">
        <fgColor rgb="FFC1FAFB"/>
        <bgColor rgb="FFCAEEFB"/>
      </patternFill>
    </fill>
    <fill>
      <patternFill patternType="solid">
        <fgColor theme="5" tint="0.79989013336588644"/>
        <bgColor rgb="FFFFF3CD"/>
      </patternFill>
    </fill>
    <fill>
      <patternFill patternType="solid">
        <fgColor theme="4" tint="0.79989013336588644"/>
        <bgColor rgb="FFCAEEFB"/>
      </patternFill>
    </fill>
    <fill>
      <patternFill patternType="solid">
        <fgColor rgb="FFF5FF8D"/>
        <bgColor rgb="FFFFF3CD"/>
      </patternFill>
    </fill>
    <fill>
      <patternFill patternType="solid">
        <fgColor rgb="FFEEF2F8"/>
        <bgColor rgb="FFFFE7FF"/>
      </patternFill>
    </fill>
    <fill>
      <patternFill patternType="solid">
        <fgColor rgb="FFFFFFFF"/>
        <bgColor rgb="FFFFFCDB"/>
      </patternFill>
    </fill>
    <fill>
      <patternFill patternType="solid">
        <fgColor rgb="FF1F3864"/>
        <bgColor rgb="FF333333"/>
      </patternFill>
    </fill>
    <fill>
      <patternFill patternType="solid">
        <fgColor rgb="FFFFF3CD"/>
        <bgColor rgb="FFFFFCDB"/>
      </patternFill>
    </fill>
    <fill>
      <patternFill patternType="solid">
        <fgColor rgb="FF2E5E9E"/>
        <bgColor rgb="FF0B77A0"/>
      </patternFill>
    </fill>
    <fill>
      <patternFill patternType="solid">
        <fgColor rgb="FFD6E4F0"/>
        <bgColor rgb="FFCAEEF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13" fillId="21" borderId="3" xfId="0" applyNumberFormat="1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 wrapText="1"/>
    </xf>
    <xf numFmtId="0" fontId="13" fillId="25" borderId="3" xfId="0" applyFont="1" applyFill="1" applyBorder="1" applyAlignment="1">
      <alignment horizontal="center" vertical="center" wrapText="1"/>
    </xf>
    <xf numFmtId="0" fontId="12" fillId="24" borderId="0" xfId="0" applyFont="1" applyFill="1" applyAlignment="1">
      <alignment horizontal="left" vertical="center"/>
    </xf>
    <xf numFmtId="0" fontId="11" fillId="23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1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6" fillId="20" borderId="2" xfId="0" applyFont="1" applyFill="1" applyBorder="1" applyAlignment="1">
      <alignment horizontal="left" vertical="center"/>
    </xf>
    <xf numFmtId="0" fontId="6" fillId="21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8" fillId="0" borderId="1" xfId="0" applyFont="1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0" xfId="0" applyAlignment="1">
      <alignment vertical="center"/>
    </xf>
    <xf numFmtId="0" fontId="9" fillId="22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5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DC"/>
      <rgbColor rgb="FF800000"/>
      <rgbColor rgb="FF008000"/>
      <rgbColor rgb="FF000080"/>
      <rgbColor rgb="FF808000"/>
      <rgbColor rgb="FF800080"/>
      <rgbColor rgb="FF0B77A0"/>
      <rgbColor rgb="FFCCCCCC"/>
      <rgbColor rgb="FF808080"/>
      <rgbColor rgb="FFFFE7FF"/>
      <rgbColor rgb="FF993366"/>
      <rgbColor rgb="FFFFFCDB"/>
      <rgbColor rgb="FFC1FAFB"/>
      <rgbColor rgb="FF660066"/>
      <rgbColor rgb="FFFF8080"/>
      <rgbColor rgb="FF2E5E9E"/>
      <rgbColor rgb="FFD6E4F0"/>
      <rgbColor rgb="FF000080"/>
      <rgbColor rgb="FFFF00FF"/>
      <rgbColor rgb="FFFFF3CD"/>
      <rgbColor rgb="FF00FFFF"/>
      <rgbColor rgb="FF800080"/>
      <rgbColor rgb="FF800000"/>
      <rgbColor rgb="FF008080"/>
      <rgbColor rgb="FF0000FF"/>
      <rgbColor rgb="FF00CCFF"/>
      <rgbColor rgb="FFCAEEFB"/>
      <rgbColor rgb="FFD9F2D0"/>
      <rgbColor rgb="FFF5FF8D"/>
      <rgbColor rgb="FFC1E5F5"/>
      <rgbColor rgb="FFE59EDD"/>
      <rgbColor rgb="FFFBE3D6"/>
      <rgbColor rgb="FFF6C6AD"/>
      <rgbColor rgb="FF3366FF"/>
      <rgbColor rgb="FF61CBF4"/>
      <rgbColor rgb="FF8ED973"/>
      <rgbColor rgb="FFEEF2F8"/>
      <rgbColor rgb="FFFFA700"/>
      <rgbColor rgb="FFE97132"/>
      <rgbColor rgb="FF666699"/>
      <rgbColor rgb="FF969696"/>
      <rgbColor rgb="FF1F3864"/>
      <rgbColor rgb="FF339966"/>
      <rgbColor rgb="FF003300"/>
      <rgbColor rgb="FF333300"/>
      <rgbColor rgb="FF7B4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4"/>
  <sheetViews>
    <sheetView topLeftCell="AE1" zoomScaleNormal="100" workbookViewId="0">
      <pane ySplit="4" topLeftCell="A5" activePane="bottomLeft" state="frozen"/>
      <selection pane="bottomLeft" activeCell="AZ5" sqref="AZ5"/>
    </sheetView>
  </sheetViews>
  <sheetFormatPr baseColWidth="10" defaultColWidth="10.5" defaultRowHeight="16"/>
  <sheetData>
    <row r="1" spans="1:45" ht="18.75" customHeight="1">
      <c r="A1" s="9" t="s">
        <v>0</v>
      </c>
      <c r="I1" s="10" t="s">
        <v>1</v>
      </c>
      <c r="N1" s="11" t="s">
        <v>2</v>
      </c>
      <c r="O1" s="12"/>
      <c r="P1" s="13" t="s">
        <v>3</v>
      </c>
      <c r="W1" s="14" t="s">
        <v>4</v>
      </c>
      <c r="AA1" s="15" t="s">
        <v>5</v>
      </c>
      <c r="AE1" s="16" t="s">
        <v>6</v>
      </c>
      <c r="AJ1" s="17" t="s">
        <v>7</v>
      </c>
      <c r="AM1" s="18" t="s">
        <v>8</v>
      </c>
      <c r="AQ1" s="19" t="s">
        <v>9</v>
      </c>
    </row>
    <row r="2" spans="1:45" ht="51" customHeight="1">
      <c r="A2" s="20" t="s">
        <v>10</v>
      </c>
      <c r="B2" s="21" t="s">
        <v>11</v>
      </c>
      <c r="C2" s="21" t="s">
        <v>12</v>
      </c>
      <c r="D2" s="21" t="s">
        <v>13</v>
      </c>
      <c r="E2" s="21" t="s">
        <v>14</v>
      </c>
      <c r="F2" s="21" t="s">
        <v>15</v>
      </c>
      <c r="G2" s="21" t="s">
        <v>16</v>
      </c>
      <c r="H2" s="21" t="s">
        <v>17</v>
      </c>
      <c r="I2" s="22" t="s">
        <v>18</v>
      </c>
      <c r="J2" s="22" t="s">
        <v>19</v>
      </c>
      <c r="K2" s="22" t="s">
        <v>20</v>
      </c>
      <c r="L2" s="23" t="s">
        <v>21</v>
      </c>
      <c r="M2" s="23" t="s">
        <v>22</v>
      </c>
      <c r="N2" s="24" t="s">
        <v>23</v>
      </c>
      <c r="O2" s="24" t="s">
        <v>24</v>
      </c>
      <c r="P2" s="25" t="s">
        <v>25</v>
      </c>
      <c r="Q2" s="25" t="s">
        <v>26</v>
      </c>
      <c r="R2" s="25" t="s">
        <v>27</v>
      </c>
      <c r="S2" s="25" t="s">
        <v>28</v>
      </c>
      <c r="T2" s="25" t="s">
        <v>29</v>
      </c>
      <c r="U2" s="25" t="s">
        <v>30</v>
      </c>
      <c r="V2" s="25" t="s">
        <v>31</v>
      </c>
      <c r="W2" s="26" t="s">
        <v>32</v>
      </c>
      <c r="X2" s="26" t="s">
        <v>33</v>
      </c>
      <c r="Y2" s="26" t="s">
        <v>34</v>
      </c>
      <c r="Z2" s="26" t="s">
        <v>35</v>
      </c>
      <c r="AA2" s="27" t="s">
        <v>36</v>
      </c>
      <c r="AB2" s="27" t="s">
        <v>37</v>
      </c>
      <c r="AC2" s="27" t="s">
        <v>38</v>
      </c>
      <c r="AD2" s="27" t="s">
        <v>39</v>
      </c>
      <c r="AE2" s="28" t="s">
        <v>40</v>
      </c>
      <c r="AF2" s="28" t="s">
        <v>41</v>
      </c>
      <c r="AG2" s="28" t="s">
        <v>42</v>
      </c>
      <c r="AH2" s="28" t="s">
        <v>43</v>
      </c>
      <c r="AI2" s="28" t="s">
        <v>44</v>
      </c>
      <c r="AJ2" s="26" t="s">
        <v>45</v>
      </c>
      <c r="AK2" s="26" t="s">
        <v>46</v>
      </c>
      <c r="AL2" s="26" t="s">
        <v>47</v>
      </c>
      <c r="AM2" s="29" t="s">
        <v>48</v>
      </c>
      <c r="AN2" s="29" t="s">
        <v>49</v>
      </c>
      <c r="AO2" s="29" t="s">
        <v>50</v>
      </c>
      <c r="AP2" s="29" t="s">
        <v>51</v>
      </c>
      <c r="AQ2" s="24" t="s">
        <v>52</v>
      </c>
      <c r="AR2" s="24" t="s">
        <v>53</v>
      </c>
      <c r="AS2" s="24" t="s">
        <v>54</v>
      </c>
    </row>
    <row r="3" spans="1:45" ht="139.5" customHeight="1">
      <c r="A3" s="30" t="s">
        <v>55</v>
      </c>
      <c r="B3" s="30" t="s">
        <v>56</v>
      </c>
      <c r="C3" s="30" t="s">
        <v>57</v>
      </c>
      <c r="D3" s="30" t="s">
        <v>58</v>
      </c>
      <c r="E3" s="30" t="s">
        <v>59</v>
      </c>
      <c r="F3" s="30" t="s">
        <v>60</v>
      </c>
      <c r="G3" s="30" t="s">
        <v>61</v>
      </c>
      <c r="H3" s="30" t="s">
        <v>62</v>
      </c>
      <c r="I3" s="30" t="s">
        <v>63</v>
      </c>
      <c r="J3" s="30" t="s">
        <v>64</v>
      </c>
      <c r="K3" s="30" t="s">
        <v>65</v>
      </c>
      <c r="L3" s="30" t="s">
        <v>66</v>
      </c>
      <c r="M3" s="30" t="s">
        <v>66</v>
      </c>
      <c r="N3" s="30" t="s">
        <v>67</v>
      </c>
      <c r="O3" s="30" t="s">
        <v>68</v>
      </c>
      <c r="P3" s="30" t="s">
        <v>66</v>
      </c>
      <c r="Q3" s="30" t="s">
        <v>69</v>
      </c>
      <c r="R3" s="30" t="s">
        <v>70</v>
      </c>
      <c r="S3" s="30" t="s">
        <v>66</v>
      </c>
      <c r="T3" s="30" t="s">
        <v>66</v>
      </c>
      <c r="U3" s="30" t="s">
        <v>66</v>
      </c>
      <c r="V3" s="30" t="s">
        <v>71</v>
      </c>
      <c r="W3" s="30" t="s">
        <v>72</v>
      </c>
      <c r="X3" s="30" t="s">
        <v>73</v>
      </c>
      <c r="Y3" s="30" t="s">
        <v>74</v>
      </c>
      <c r="Z3" s="30" t="s">
        <v>75</v>
      </c>
      <c r="AA3" s="31" t="s">
        <v>66</v>
      </c>
      <c r="AB3" s="31" t="s">
        <v>75</v>
      </c>
      <c r="AC3" s="31" t="s">
        <v>66</v>
      </c>
      <c r="AD3" s="31" t="s">
        <v>66</v>
      </c>
      <c r="AE3" s="30" t="s">
        <v>76</v>
      </c>
      <c r="AF3" s="30" t="s">
        <v>66</v>
      </c>
      <c r="AG3" s="30" t="s">
        <v>66</v>
      </c>
      <c r="AH3" s="30" t="s">
        <v>66</v>
      </c>
      <c r="AI3" s="30" t="s">
        <v>66</v>
      </c>
      <c r="AJ3" s="30" t="s">
        <v>77</v>
      </c>
      <c r="AK3" s="30" t="s">
        <v>66</v>
      </c>
      <c r="AL3" s="30" t="s">
        <v>78</v>
      </c>
      <c r="AM3" s="31" t="s">
        <v>66</v>
      </c>
      <c r="AN3" s="31" t="s">
        <v>66</v>
      </c>
      <c r="AO3" s="31" t="s">
        <v>66</v>
      </c>
      <c r="AP3" s="31" t="s">
        <v>79</v>
      </c>
      <c r="AQ3" s="30" t="s">
        <v>80</v>
      </c>
      <c r="AR3" s="30" t="s">
        <v>81</v>
      </c>
      <c r="AS3" s="30" t="s">
        <v>82</v>
      </c>
    </row>
    <row r="4" spans="1:45" ht="33.75" customHeight="1">
      <c r="A4" s="32" t="s">
        <v>83</v>
      </c>
      <c r="I4" t="s">
        <v>84</v>
      </c>
      <c r="L4" t="s">
        <v>85</v>
      </c>
      <c r="M4" t="s">
        <v>86</v>
      </c>
      <c r="U4" s="33" t="s">
        <v>87</v>
      </c>
      <c r="AA4" s="34" t="s">
        <v>88</v>
      </c>
    </row>
    <row r="5" spans="1:45">
      <c r="A5" s="35" t="s">
        <v>89</v>
      </c>
      <c r="B5" s="35" t="s">
        <v>90</v>
      </c>
      <c r="C5" s="35" t="s">
        <v>91</v>
      </c>
      <c r="D5" s="35" t="s">
        <v>92</v>
      </c>
      <c r="E5" s="35" t="s">
        <v>93</v>
      </c>
      <c r="F5" s="35">
        <v>1874</v>
      </c>
      <c r="G5" s="35" t="s">
        <v>94</v>
      </c>
      <c r="H5" s="35" t="s">
        <v>95</v>
      </c>
      <c r="I5" s="35" t="s">
        <v>96</v>
      </c>
      <c r="J5" s="35" t="s">
        <v>97</v>
      </c>
      <c r="K5" s="35" t="s">
        <v>98</v>
      </c>
      <c r="L5" s="35" t="s">
        <v>99</v>
      </c>
      <c r="M5" s="35" t="s">
        <v>99</v>
      </c>
      <c r="N5" s="35" t="s">
        <v>100</v>
      </c>
      <c r="O5" s="35"/>
      <c r="P5" s="35" t="s">
        <v>99</v>
      </c>
      <c r="Q5" s="35" t="s">
        <v>101</v>
      </c>
      <c r="R5" s="35" t="s">
        <v>102</v>
      </c>
      <c r="S5" s="35" t="s">
        <v>103</v>
      </c>
      <c r="T5" s="35" t="s">
        <v>99</v>
      </c>
      <c r="U5" s="35" t="s">
        <v>103</v>
      </c>
      <c r="V5" s="35"/>
      <c r="W5" s="35">
        <v>4</v>
      </c>
      <c r="X5" s="35" t="s">
        <v>104</v>
      </c>
      <c r="Y5" s="35" t="s">
        <v>105</v>
      </c>
      <c r="Z5" s="35" t="s">
        <v>106</v>
      </c>
      <c r="AA5" s="35" t="s">
        <v>99</v>
      </c>
      <c r="AB5" s="35" t="s">
        <v>107</v>
      </c>
      <c r="AC5" s="35" t="s">
        <v>103</v>
      </c>
      <c r="AD5" s="35" t="s">
        <v>103</v>
      </c>
      <c r="AE5" s="35" t="s">
        <v>108</v>
      </c>
      <c r="AF5" s="35" t="s">
        <v>99</v>
      </c>
      <c r="AG5" s="35" t="s">
        <v>103</v>
      </c>
      <c r="AH5" s="35" t="s">
        <v>103</v>
      </c>
      <c r="AI5" s="35" t="s">
        <v>103</v>
      </c>
      <c r="AJ5" s="35" t="s">
        <v>109</v>
      </c>
      <c r="AK5" s="35" t="s">
        <v>99</v>
      </c>
      <c r="AL5" s="35" t="s">
        <v>110</v>
      </c>
      <c r="AM5" s="35" t="s">
        <v>103</v>
      </c>
      <c r="AN5" s="35" t="s">
        <v>103</v>
      </c>
      <c r="AO5" s="35" t="s">
        <v>103</v>
      </c>
      <c r="AP5" s="35" t="s">
        <v>111</v>
      </c>
      <c r="AQ5" s="35" t="s">
        <v>112</v>
      </c>
      <c r="AR5" s="35" t="s">
        <v>113</v>
      </c>
      <c r="AS5" s="35" t="s">
        <v>114</v>
      </c>
    </row>
    <row r="6" spans="1:45">
      <c r="A6" s="36" t="s">
        <v>115</v>
      </c>
      <c r="B6" s="36" t="s">
        <v>90</v>
      </c>
      <c r="C6" s="36" t="s">
        <v>116</v>
      </c>
      <c r="D6" s="36" t="s">
        <v>117</v>
      </c>
      <c r="E6" s="36" t="s">
        <v>93</v>
      </c>
      <c r="F6" s="36">
        <v>1903</v>
      </c>
      <c r="G6" s="36" t="s">
        <v>118</v>
      </c>
      <c r="H6" s="36" t="s">
        <v>119</v>
      </c>
      <c r="I6" s="36" t="s">
        <v>120</v>
      </c>
      <c r="J6" s="36" t="s">
        <v>97</v>
      </c>
      <c r="K6" s="36" t="s">
        <v>121</v>
      </c>
      <c r="L6" s="36" t="s">
        <v>103</v>
      </c>
      <c r="M6" s="36" t="s">
        <v>103</v>
      </c>
      <c r="N6" s="36" t="s">
        <v>100</v>
      </c>
      <c r="O6" s="36"/>
      <c r="P6" s="36" t="s">
        <v>99</v>
      </c>
      <c r="Q6" s="36" t="s">
        <v>122</v>
      </c>
      <c r="R6" s="36" t="s">
        <v>123</v>
      </c>
      <c r="S6" s="36" t="s">
        <v>103</v>
      </c>
      <c r="T6" s="36" t="s">
        <v>99</v>
      </c>
      <c r="U6" s="36" t="s">
        <v>99</v>
      </c>
      <c r="V6" s="36" t="s">
        <v>124</v>
      </c>
      <c r="W6" s="36">
        <v>3</v>
      </c>
      <c r="X6" s="36" t="s">
        <v>104</v>
      </c>
      <c r="Y6" s="36" t="s">
        <v>105</v>
      </c>
      <c r="Z6" s="36" t="s">
        <v>106</v>
      </c>
      <c r="AA6" s="36" t="s">
        <v>99</v>
      </c>
      <c r="AB6" s="36" t="s">
        <v>125</v>
      </c>
      <c r="AC6" s="36" t="s">
        <v>103</v>
      </c>
      <c r="AD6" s="36" t="s">
        <v>99</v>
      </c>
      <c r="AE6" s="36" t="s">
        <v>126</v>
      </c>
      <c r="AF6" s="36" t="s">
        <v>99</v>
      </c>
      <c r="AG6" s="36" t="s">
        <v>99</v>
      </c>
      <c r="AH6" s="36" t="s">
        <v>99</v>
      </c>
      <c r="AI6" s="36" t="s">
        <v>99</v>
      </c>
      <c r="AJ6" s="36" t="s">
        <v>127</v>
      </c>
      <c r="AK6" s="36" t="s">
        <v>103</v>
      </c>
      <c r="AL6" s="36"/>
      <c r="AM6" s="36" t="s">
        <v>103</v>
      </c>
      <c r="AN6" s="36" t="s">
        <v>99</v>
      </c>
      <c r="AO6" s="36" t="s">
        <v>103</v>
      </c>
      <c r="AP6" s="36" t="s">
        <v>111</v>
      </c>
      <c r="AQ6" s="36" t="s">
        <v>128</v>
      </c>
      <c r="AR6" s="36" t="s">
        <v>113</v>
      </c>
      <c r="AS6" s="36" t="s">
        <v>114</v>
      </c>
    </row>
    <row r="7" spans="1:45">
      <c r="A7" s="35" t="s">
        <v>129</v>
      </c>
      <c r="B7" s="35" t="s">
        <v>90</v>
      </c>
      <c r="C7" s="35" t="s">
        <v>130</v>
      </c>
      <c r="D7" s="35" t="s">
        <v>131</v>
      </c>
      <c r="E7" s="35" t="s">
        <v>93</v>
      </c>
      <c r="F7" s="35">
        <v>1905</v>
      </c>
      <c r="G7" s="35" t="s">
        <v>94</v>
      </c>
      <c r="H7" s="35" t="s">
        <v>113</v>
      </c>
      <c r="I7" s="35" t="s">
        <v>120</v>
      </c>
      <c r="J7" s="35" t="s">
        <v>97</v>
      </c>
      <c r="K7" s="35" t="s">
        <v>132</v>
      </c>
      <c r="L7" s="35" t="s">
        <v>103</v>
      </c>
      <c r="M7" s="35" t="s">
        <v>103</v>
      </c>
      <c r="N7" s="35" t="s">
        <v>133</v>
      </c>
      <c r="O7" s="35"/>
      <c r="P7" s="35" t="s">
        <v>99</v>
      </c>
      <c r="Q7" s="35" t="s">
        <v>101</v>
      </c>
      <c r="R7" s="35" t="s">
        <v>134</v>
      </c>
      <c r="S7" s="35" t="s">
        <v>99</v>
      </c>
      <c r="T7" s="35" t="s">
        <v>103</v>
      </c>
      <c r="U7" s="35" t="s">
        <v>103</v>
      </c>
      <c r="V7" s="35"/>
      <c r="W7" s="35">
        <v>1</v>
      </c>
      <c r="X7" s="35" t="s">
        <v>135</v>
      </c>
      <c r="Y7" s="35" t="s">
        <v>136</v>
      </c>
      <c r="Z7" s="35" t="s">
        <v>106</v>
      </c>
      <c r="AA7" s="35" t="s">
        <v>99</v>
      </c>
      <c r="AB7" s="35" t="s">
        <v>107</v>
      </c>
      <c r="AC7" s="35" t="s">
        <v>103</v>
      </c>
      <c r="AD7" s="35" t="s">
        <v>103</v>
      </c>
      <c r="AE7" s="35" t="s">
        <v>108</v>
      </c>
      <c r="AF7" s="35" t="s">
        <v>99</v>
      </c>
      <c r="AG7" s="35" t="s">
        <v>99</v>
      </c>
      <c r="AH7" s="35" t="s">
        <v>99</v>
      </c>
      <c r="AI7" s="35" t="s">
        <v>99</v>
      </c>
      <c r="AJ7" s="35" t="s">
        <v>137</v>
      </c>
      <c r="AK7" s="35" t="s">
        <v>99</v>
      </c>
      <c r="AL7" s="35" t="s">
        <v>110</v>
      </c>
      <c r="AM7" s="35" t="s">
        <v>103</v>
      </c>
      <c r="AN7" s="35" t="s">
        <v>103</v>
      </c>
      <c r="AO7" s="35" t="s">
        <v>103</v>
      </c>
      <c r="AP7" s="35" t="s">
        <v>111</v>
      </c>
      <c r="AQ7" s="35" t="s">
        <v>112</v>
      </c>
      <c r="AR7" s="35" t="s">
        <v>113</v>
      </c>
      <c r="AS7" s="35" t="s">
        <v>114</v>
      </c>
    </row>
    <row r="8" spans="1:45" ht="15.75" customHeight="1">
      <c r="A8" s="36" t="s">
        <v>138</v>
      </c>
      <c r="B8" s="36" t="s">
        <v>90</v>
      </c>
      <c r="C8" s="36" t="s">
        <v>139</v>
      </c>
      <c r="D8" s="36" t="s">
        <v>140</v>
      </c>
      <c r="E8" s="36" t="s">
        <v>141</v>
      </c>
      <c r="F8" s="36">
        <v>1893</v>
      </c>
      <c r="G8" s="36" t="s">
        <v>142</v>
      </c>
      <c r="H8" s="36" t="s">
        <v>113</v>
      </c>
      <c r="I8" s="36" t="s">
        <v>143</v>
      </c>
      <c r="J8" s="36" t="s">
        <v>97</v>
      </c>
      <c r="K8" s="36" t="s">
        <v>132</v>
      </c>
      <c r="L8" s="36" t="s">
        <v>103</v>
      </c>
      <c r="M8" s="36" t="s">
        <v>103</v>
      </c>
      <c r="N8" s="36" t="s">
        <v>100</v>
      </c>
      <c r="O8" s="36"/>
      <c r="P8" s="36" t="s">
        <v>99</v>
      </c>
      <c r="Q8" s="36" t="s">
        <v>101</v>
      </c>
      <c r="R8" s="36" t="s">
        <v>102</v>
      </c>
      <c r="S8" s="36" t="s">
        <v>99</v>
      </c>
      <c r="T8" s="36" t="s">
        <v>103</v>
      </c>
      <c r="U8" s="36" t="s">
        <v>103</v>
      </c>
      <c r="V8" s="36"/>
      <c r="W8" s="36">
        <v>5</v>
      </c>
      <c r="X8" s="36" t="s">
        <v>104</v>
      </c>
      <c r="Y8" s="36" t="s">
        <v>105</v>
      </c>
      <c r="Z8" s="36" t="s">
        <v>107</v>
      </c>
      <c r="AA8" s="36" t="s">
        <v>99</v>
      </c>
      <c r="AB8" s="36" t="s">
        <v>107</v>
      </c>
      <c r="AC8" s="36" t="s">
        <v>103</v>
      </c>
      <c r="AD8" s="36" t="s">
        <v>103</v>
      </c>
      <c r="AE8" s="36" t="s">
        <v>108</v>
      </c>
      <c r="AF8" s="36" t="s">
        <v>99</v>
      </c>
      <c r="AG8" s="36" t="s">
        <v>99</v>
      </c>
      <c r="AH8" s="36" t="s">
        <v>99</v>
      </c>
      <c r="AI8" s="36" t="s">
        <v>103</v>
      </c>
      <c r="AJ8" s="36" t="s">
        <v>127</v>
      </c>
      <c r="AK8" s="36" t="s">
        <v>103</v>
      </c>
      <c r="AL8" s="36"/>
      <c r="AM8" s="36" t="s">
        <v>103</v>
      </c>
      <c r="AN8" s="36" t="s">
        <v>103</v>
      </c>
      <c r="AO8" s="36" t="s">
        <v>103</v>
      </c>
      <c r="AP8" s="36" t="s">
        <v>111</v>
      </c>
      <c r="AQ8" s="36" t="s">
        <v>112</v>
      </c>
      <c r="AR8" s="36" t="s">
        <v>113</v>
      </c>
      <c r="AS8" s="36" t="s">
        <v>114</v>
      </c>
    </row>
    <row r="9" spans="1:45">
      <c r="A9" s="35" t="s">
        <v>144</v>
      </c>
      <c r="B9" s="35" t="s">
        <v>90</v>
      </c>
      <c r="C9" s="35" t="s">
        <v>145</v>
      </c>
      <c r="D9" s="35" t="s">
        <v>146</v>
      </c>
      <c r="E9" s="35" t="s">
        <v>93</v>
      </c>
      <c r="F9" s="35">
        <v>1918</v>
      </c>
      <c r="G9" s="35" t="s">
        <v>94</v>
      </c>
      <c r="H9" s="35" t="s">
        <v>113</v>
      </c>
      <c r="I9" s="35" t="s">
        <v>96</v>
      </c>
      <c r="J9" s="35" t="s">
        <v>97</v>
      </c>
      <c r="K9" s="35" t="s">
        <v>121</v>
      </c>
      <c r="L9" s="35" t="s">
        <v>103</v>
      </c>
      <c r="M9" s="35" t="s">
        <v>99</v>
      </c>
      <c r="N9" s="35" t="s">
        <v>133</v>
      </c>
      <c r="O9" s="35"/>
      <c r="P9" s="35" t="s">
        <v>99</v>
      </c>
      <c r="Q9" s="35" t="s">
        <v>101</v>
      </c>
      <c r="R9" s="35" t="s">
        <v>102</v>
      </c>
      <c r="S9" s="35" t="s">
        <v>99</v>
      </c>
      <c r="T9" s="35" t="s">
        <v>103</v>
      </c>
      <c r="U9" s="35" t="s">
        <v>103</v>
      </c>
      <c r="V9" s="35"/>
      <c r="W9" s="35">
        <v>0</v>
      </c>
      <c r="X9" s="35" t="s">
        <v>147</v>
      </c>
      <c r="Y9" s="35" t="s">
        <v>105</v>
      </c>
      <c r="Z9" s="35" t="s">
        <v>106</v>
      </c>
      <c r="AA9" s="35" t="s">
        <v>103</v>
      </c>
      <c r="AB9" s="35" t="s">
        <v>125</v>
      </c>
      <c r="AC9" s="35" t="s">
        <v>103</v>
      </c>
      <c r="AD9" s="35" t="s">
        <v>103</v>
      </c>
      <c r="AE9" s="35" t="s">
        <v>126</v>
      </c>
      <c r="AF9" s="35" t="s">
        <v>99</v>
      </c>
      <c r="AG9" s="35" t="s">
        <v>103</v>
      </c>
      <c r="AH9" s="35" t="s">
        <v>103</v>
      </c>
      <c r="AI9" s="35" t="s">
        <v>103</v>
      </c>
      <c r="AJ9" s="35" t="s">
        <v>137</v>
      </c>
      <c r="AK9" s="35" t="s">
        <v>99</v>
      </c>
      <c r="AL9" s="35" t="s">
        <v>148</v>
      </c>
      <c r="AM9" s="35" t="s">
        <v>103</v>
      </c>
      <c r="AN9" s="35" t="s">
        <v>103</v>
      </c>
      <c r="AO9" s="35" t="s">
        <v>103</v>
      </c>
      <c r="AP9" s="35" t="s">
        <v>111</v>
      </c>
      <c r="AQ9" s="35" t="s">
        <v>128</v>
      </c>
      <c r="AR9" s="35" t="s">
        <v>113</v>
      </c>
      <c r="AS9" s="35" t="s">
        <v>114</v>
      </c>
    </row>
    <row r="10" spans="1:45">
      <c r="A10" s="36" t="s">
        <v>149</v>
      </c>
      <c r="B10" s="36" t="s">
        <v>90</v>
      </c>
      <c r="C10" s="36" t="s">
        <v>91</v>
      </c>
      <c r="D10" s="36" t="s">
        <v>150</v>
      </c>
      <c r="E10" s="36" t="s">
        <v>141</v>
      </c>
      <c r="F10" s="36">
        <v>1920</v>
      </c>
      <c r="G10" s="36" t="s">
        <v>151</v>
      </c>
      <c r="H10" s="36" t="s">
        <v>119</v>
      </c>
      <c r="I10" s="36" t="s">
        <v>152</v>
      </c>
      <c r="J10" s="36" t="s">
        <v>152</v>
      </c>
      <c r="K10" s="36" t="s">
        <v>132</v>
      </c>
      <c r="L10" s="36" t="s">
        <v>103</v>
      </c>
      <c r="M10" s="36" t="s">
        <v>103</v>
      </c>
      <c r="N10" s="36" t="s">
        <v>133</v>
      </c>
      <c r="O10" s="36"/>
      <c r="P10" s="36" t="s">
        <v>99</v>
      </c>
      <c r="Q10" s="36" t="s">
        <v>122</v>
      </c>
      <c r="R10" s="36" t="s">
        <v>134</v>
      </c>
      <c r="S10" s="36" t="s">
        <v>103</v>
      </c>
      <c r="T10" s="36" t="s">
        <v>99</v>
      </c>
      <c r="U10" s="36" t="s">
        <v>103</v>
      </c>
      <c r="V10" s="36"/>
      <c r="W10" s="36">
        <v>3</v>
      </c>
      <c r="X10" s="36" t="s">
        <v>135</v>
      </c>
      <c r="Y10" s="36" t="s">
        <v>105</v>
      </c>
      <c r="Z10" s="36" t="s">
        <v>107</v>
      </c>
      <c r="AA10" s="36" t="s">
        <v>99</v>
      </c>
      <c r="AB10" s="36" t="s">
        <v>106</v>
      </c>
      <c r="AC10" s="36" t="s">
        <v>99</v>
      </c>
      <c r="AD10" s="36" t="s">
        <v>103</v>
      </c>
      <c r="AE10" s="36" t="s">
        <v>108</v>
      </c>
      <c r="AF10" s="36" t="s">
        <v>99</v>
      </c>
      <c r="AG10" s="36" t="s">
        <v>103</v>
      </c>
      <c r="AH10" s="36" t="s">
        <v>103</v>
      </c>
      <c r="AI10" s="36" t="s">
        <v>103</v>
      </c>
      <c r="AJ10" s="36" t="s">
        <v>109</v>
      </c>
      <c r="AK10" s="36" t="s">
        <v>99</v>
      </c>
      <c r="AL10" s="36" t="s">
        <v>148</v>
      </c>
      <c r="AM10" s="36" t="s">
        <v>103</v>
      </c>
      <c r="AN10" s="36" t="s">
        <v>99</v>
      </c>
      <c r="AO10" s="36" t="s">
        <v>103</v>
      </c>
      <c r="AP10" s="36" t="s">
        <v>111</v>
      </c>
      <c r="AQ10" s="36" t="s">
        <v>153</v>
      </c>
      <c r="AR10" s="36" t="s">
        <v>119</v>
      </c>
      <c r="AS10" s="36" t="s">
        <v>154</v>
      </c>
    </row>
    <row r="11" spans="1:45">
      <c r="A11" s="35" t="s">
        <v>155</v>
      </c>
      <c r="B11" s="35" t="s">
        <v>90</v>
      </c>
      <c r="C11" s="35" t="s">
        <v>156</v>
      </c>
      <c r="D11" s="35" t="s">
        <v>157</v>
      </c>
      <c r="E11" s="35" t="s">
        <v>93</v>
      </c>
      <c r="F11" s="35">
        <v>1925</v>
      </c>
      <c r="G11" s="35" t="s">
        <v>94</v>
      </c>
      <c r="H11" s="35" t="s">
        <v>113</v>
      </c>
      <c r="I11" s="35" t="s">
        <v>143</v>
      </c>
      <c r="J11" s="35" t="s">
        <v>97</v>
      </c>
      <c r="K11" s="35" t="s">
        <v>158</v>
      </c>
      <c r="L11" s="35" t="s">
        <v>99</v>
      </c>
      <c r="M11" s="35" t="s">
        <v>103</v>
      </c>
      <c r="N11" s="35" t="s">
        <v>133</v>
      </c>
      <c r="O11" s="35"/>
      <c r="P11" s="35" t="s">
        <v>99</v>
      </c>
      <c r="Q11" s="35" t="s">
        <v>122</v>
      </c>
      <c r="R11" s="35" t="s">
        <v>134</v>
      </c>
      <c r="S11" s="35" t="s">
        <v>103</v>
      </c>
      <c r="T11" s="35" t="s">
        <v>99</v>
      </c>
      <c r="U11" s="35" t="s">
        <v>103</v>
      </c>
      <c r="V11" s="35"/>
      <c r="W11" s="35">
        <v>0</v>
      </c>
      <c r="X11" s="35" t="s">
        <v>104</v>
      </c>
      <c r="Y11" s="35" t="s">
        <v>105</v>
      </c>
      <c r="Z11" s="35" t="s">
        <v>107</v>
      </c>
      <c r="AA11" s="35" t="s">
        <v>99</v>
      </c>
      <c r="AB11" s="35" t="s">
        <v>107</v>
      </c>
      <c r="AC11" s="35" t="s">
        <v>103</v>
      </c>
      <c r="AD11" s="35" t="s">
        <v>103</v>
      </c>
      <c r="AE11" s="35" t="s">
        <v>108</v>
      </c>
      <c r="AF11" s="35" t="s">
        <v>99</v>
      </c>
      <c r="AG11" s="35" t="s">
        <v>103</v>
      </c>
      <c r="AH11" s="35" t="s">
        <v>103</v>
      </c>
      <c r="AI11" s="35" t="s">
        <v>103</v>
      </c>
      <c r="AJ11" s="35" t="s">
        <v>137</v>
      </c>
      <c r="AK11" s="35" t="s">
        <v>99</v>
      </c>
      <c r="AL11" s="35" t="s">
        <v>159</v>
      </c>
      <c r="AM11" s="35" t="s">
        <v>103</v>
      </c>
      <c r="AN11" s="35" t="s">
        <v>103</v>
      </c>
      <c r="AO11" s="35" t="s">
        <v>103</v>
      </c>
      <c r="AP11" s="35" t="s">
        <v>111</v>
      </c>
      <c r="AQ11" s="35" t="s">
        <v>160</v>
      </c>
      <c r="AR11" s="35" t="s">
        <v>113</v>
      </c>
      <c r="AS11" s="35" t="s">
        <v>114</v>
      </c>
    </row>
    <row r="12" spans="1:45">
      <c r="A12" s="36" t="s">
        <v>161</v>
      </c>
      <c r="B12" s="36" t="s">
        <v>90</v>
      </c>
      <c r="C12" s="36" t="s">
        <v>139</v>
      </c>
      <c r="D12" s="36" t="s">
        <v>162</v>
      </c>
      <c r="E12" s="36" t="s">
        <v>93</v>
      </c>
      <c r="F12" s="36">
        <v>1917</v>
      </c>
      <c r="G12" s="36" t="s">
        <v>142</v>
      </c>
      <c r="H12" s="36" t="s">
        <v>95</v>
      </c>
      <c r="I12" s="36" t="s">
        <v>163</v>
      </c>
      <c r="J12" s="36" t="s">
        <v>97</v>
      </c>
      <c r="K12" s="36" t="s">
        <v>98</v>
      </c>
      <c r="L12" s="36" t="s">
        <v>103</v>
      </c>
      <c r="M12" s="36" t="s">
        <v>103</v>
      </c>
      <c r="N12" s="36" t="s">
        <v>100</v>
      </c>
      <c r="O12" s="36"/>
      <c r="P12" s="36" t="s">
        <v>99</v>
      </c>
      <c r="Q12" s="36" t="s">
        <v>122</v>
      </c>
      <c r="R12" s="36" t="s">
        <v>123</v>
      </c>
      <c r="S12" s="36" t="s">
        <v>103</v>
      </c>
      <c r="T12" s="36" t="s">
        <v>99</v>
      </c>
      <c r="U12" s="36" t="s">
        <v>99</v>
      </c>
      <c r="V12" s="36" t="s">
        <v>124</v>
      </c>
      <c r="W12" s="36">
        <v>0</v>
      </c>
      <c r="X12" s="36" t="s">
        <v>135</v>
      </c>
      <c r="Y12" s="36" t="s">
        <v>105</v>
      </c>
      <c r="Z12" s="36" t="s">
        <v>107</v>
      </c>
      <c r="AA12" s="36" t="s">
        <v>99</v>
      </c>
      <c r="AB12" s="36" t="s">
        <v>106</v>
      </c>
      <c r="AC12" s="36" t="s">
        <v>103</v>
      </c>
      <c r="AD12" s="36" t="s">
        <v>103</v>
      </c>
      <c r="AE12" s="36" t="s">
        <v>164</v>
      </c>
      <c r="AF12" s="36" t="s">
        <v>103</v>
      </c>
      <c r="AG12" s="36" t="s">
        <v>103</v>
      </c>
      <c r="AH12" s="36" t="s">
        <v>103</v>
      </c>
      <c r="AI12" s="36" t="s">
        <v>103</v>
      </c>
      <c r="AJ12" s="36" t="s">
        <v>137</v>
      </c>
      <c r="AK12" s="36" t="s">
        <v>99</v>
      </c>
      <c r="AL12" s="36" t="s">
        <v>159</v>
      </c>
      <c r="AM12" s="36" t="s">
        <v>103</v>
      </c>
      <c r="AN12" s="36" t="s">
        <v>103</v>
      </c>
      <c r="AO12" s="36" t="s">
        <v>103</v>
      </c>
      <c r="AP12" s="36" t="s">
        <v>111</v>
      </c>
      <c r="AQ12" s="36" t="s">
        <v>160</v>
      </c>
      <c r="AR12" s="36" t="s">
        <v>113</v>
      </c>
      <c r="AS12" s="36" t="s">
        <v>114</v>
      </c>
    </row>
    <row r="13" spans="1:45">
      <c r="A13" s="35" t="s">
        <v>165</v>
      </c>
      <c r="B13" s="35" t="s">
        <v>90</v>
      </c>
      <c r="C13" s="35" t="s">
        <v>166</v>
      </c>
      <c r="D13" s="35" t="s">
        <v>167</v>
      </c>
      <c r="E13" s="35" t="s">
        <v>168</v>
      </c>
      <c r="F13" s="35">
        <v>1893</v>
      </c>
      <c r="G13" s="35" t="s">
        <v>94</v>
      </c>
      <c r="H13" s="35" t="s">
        <v>119</v>
      </c>
      <c r="I13" s="35" t="s">
        <v>152</v>
      </c>
      <c r="J13" s="35" t="s">
        <v>152</v>
      </c>
      <c r="K13" s="35" t="s">
        <v>132</v>
      </c>
      <c r="L13" s="35" t="s">
        <v>103</v>
      </c>
      <c r="M13" s="35" t="s">
        <v>103</v>
      </c>
      <c r="N13" s="35" t="s">
        <v>133</v>
      </c>
      <c r="O13" s="35"/>
      <c r="P13" s="35" t="s">
        <v>99</v>
      </c>
      <c r="Q13" s="35" t="s">
        <v>101</v>
      </c>
      <c r="R13" s="35" t="s">
        <v>102</v>
      </c>
      <c r="S13" s="35" t="s">
        <v>99</v>
      </c>
      <c r="T13" s="35" t="s">
        <v>103</v>
      </c>
      <c r="U13" s="35" t="s">
        <v>103</v>
      </c>
      <c r="V13" s="35"/>
      <c r="W13" s="35">
        <v>0</v>
      </c>
      <c r="X13" s="35" t="s">
        <v>135</v>
      </c>
      <c r="Y13" s="35" t="s">
        <v>136</v>
      </c>
      <c r="Z13" s="35" t="s">
        <v>106</v>
      </c>
      <c r="AA13" s="35" t="s">
        <v>99</v>
      </c>
      <c r="AB13" s="35" t="s">
        <v>125</v>
      </c>
      <c r="AC13" s="35" t="s">
        <v>103</v>
      </c>
      <c r="AD13" s="35" t="s">
        <v>99</v>
      </c>
      <c r="AE13" s="35" t="s">
        <v>108</v>
      </c>
      <c r="AF13" s="35" t="s">
        <v>99</v>
      </c>
      <c r="AG13" s="35" t="s">
        <v>99</v>
      </c>
      <c r="AH13" s="35" t="s">
        <v>103</v>
      </c>
      <c r="AI13" s="35" t="s">
        <v>103</v>
      </c>
      <c r="AJ13" s="35" t="s">
        <v>127</v>
      </c>
      <c r="AK13" s="35" t="s">
        <v>103</v>
      </c>
      <c r="AL13" s="35"/>
      <c r="AM13" s="35" t="s">
        <v>103</v>
      </c>
      <c r="AN13" s="35" t="s">
        <v>99</v>
      </c>
      <c r="AO13" s="35" t="s">
        <v>103</v>
      </c>
      <c r="AP13" s="35" t="s">
        <v>111</v>
      </c>
      <c r="AQ13" s="35" t="s">
        <v>169</v>
      </c>
      <c r="AR13" s="35" t="s">
        <v>113</v>
      </c>
      <c r="AS13" s="35" t="s">
        <v>114</v>
      </c>
    </row>
    <row r="14" spans="1:45">
      <c r="A14" s="36" t="s">
        <v>170</v>
      </c>
      <c r="B14" s="36" t="s">
        <v>90</v>
      </c>
      <c r="C14" s="36" t="s">
        <v>139</v>
      </c>
      <c r="D14" s="36" t="s">
        <v>140</v>
      </c>
      <c r="E14" s="36" t="s">
        <v>141</v>
      </c>
      <c r="F14" s="36">
        <v>1865</v>
      </c>
      <c r="G14" s="36" t="s">
        <v>118</v>
      </c>
      <c r="H14" s="36" t="s">
        <v>119</v>
      </c>
      <c r="I14" s="36" t="s">
        <v>152</v>
      </c>
      <c r="J14" s="36" t="s">
        <v>152</v>
      </c>
      <c r="K14" s="36" t="s">
        <v>121</v>
      </c>
      <c r="L14" s="36" t="s">
        <v>103</v>
      </c>
      <c r="M14" s="36" t="s">
        <v>103</v>
      </c>
      <c r="N14" s="36" t="s">
        <v>133</v>
      </c>
      <c r="O14" s="36"/>
      <c r="P14" s="36" t="s">
        <v>99</v>
      </c>
      <c r="Q14" s="36" t="s">
        <v>122</v>
      </c>
      <c r="R14" s="36" t="s">
        <v>134</v>
      </c>
      <c r="S14" s="36" t="s">
        <v>103</v>
      </c>
      <c r="T14" s="36" t="s">
        <v>99</v>
      </c>
      <c r="U14" s="36" t="s">
        <v>103</v>
      </c>
      <c r="V14" s="36"/>
      <c r="W14" s="36">
        <v>2</v>
      </c>
      <c r="X14" s="36" t="s">
        <v>104</v>
      </c>
      <c r="Y14" s="36" t="s">
        <v>105</v>
      </c>
      <c r="Z14" s="36" t="s">
        <v>107</v>
      </c>
      <c r="AA14" s="36" t="s">
        <v>99</v>
      </c>
      <c r="AB14" s="36" t="s">
        <v>107</v>
      </c>
      <c r="AC14" s="36" t="s">
        <v>103</v>
      </c>
      <c r="AD14" s="36" t="s">
        <v>99</v>
      </c>
      <c r="AE14" s="36" t="s">
        <v>164</v>
      </c>
      <c r="AF14" s="36" t="s">
        <v>99</v>
      </c>
      <c r="AG14" s="36" t="s">
        <v>103</v>
      </c>
      <c r="AH14" s="36" t="s">
        <v>103</v>
      </c>
      <c r="AI14" s="36" t="s">
        <v>103</v>
      </c>
      <c r="AJ14" s="36" t="s">
        <v>137</v>
      </c>
      <c r="AK14" s="36" t="s">
        <v>99</v>
      </c>
      <c r="AL14" s="36" t="s">
        <v>159</v>
      </c>
      <c r="AM14" s="36" t="s">
        <v>103</v>
      </c>
      <c r="AN14" s="36" t="s">
        <v>99</v>
      </c>
      <c r="AO14" s="36" t="s">
        <v>103</v>
      </c>
      <c r="AP14" s="36" t="s">
        <v>111</v>
      </c>
      <c r="AQ14" s="36" t="s">
        <v>112</v>
      </c>
      <c r="AR14" s="36" t="s">
        <v>113</v>
      </c>
      <c r="AS14" s="36" t="s">
        <v>114</v>
      </c>
    </row>
    <row r="15" spans="1:45">
      <c r="A15" s="35" t="s">
        <v>171</v>
      </c>
      <c r="B15" s="35" t="s">
        <v>90</v>
      </c>
      <c r="C15" s="35" t="s">
        <v>145</v>
      </c>
      <c r="D15" s="35" t="s">
        <v>172</v>
      </c>
      <c r="E15" s="35" t="s">
        <v>168</v>
      </c>
      <c r="F15" s="35">
        <v>1907</v>
      </c>
      <c r="G15" s="35" t="s">
        <v>151</v>
      </c>
      <c r="H15" s="35" t="s">
        <v>119</v>
      </c>
      <c r="I15" s="35" t="s">
        <v>152</v>
      </c>
      <c r="J15" s="35" t="s">
        <v>152</v>
      </c>
      <c r="K15" s="35" t="s">
        <v>98</v>
      </c>
      <c r="L15" s="35" t="s">
        <v>103</v>
      </c>
      <c r="M15" s="35" t="s">
        <v>103</v>
      </c>
      <c r="N15" s="35" t="s">
        <v>100</v>
      </c>
      <c r="O15" s="35"/>
      <c r="P15" s="35" t="s">
        <v>99</v>
      </c>
      <c r="Q15" s="35" t="s">
        <v>127</v>
      </c>
      <c r="R15" s="35" t="s">
        <v>102</v>
      </c>
      <c r="S15" s="35" t="s">
        <v>103</v>
      </c>
      <c r="T15" s="35" t="s">
        <v>99</v>
      </c>
      <c r="U15" s="35" t="s">
        <v>103</v>
      </c>
      <c r="V15" s="35"/>
      <c r="W15" s="35">
        <v>2</v>
      </c>
      <c r="X15" s="35" t="s">
        <v>104</v>
      </c>
      <c r="Y15" s="35" t="s">
        <v>105</v>
      </c>
      <c r="Z15" s="35" t="s">
        <v>106</v>
      </c>
      <c r="AA15" s="35" t="s">
        <v>99</v>
      </c>
      <c r="AB15" s="35" t="s">
        <v>107</v>
      </c>
      <c r="AC15" s="35" t="s">
        <v>103</v>
      </c>
      <c r="AD15" s="35" t="s">
        <v>103</v>
      </c>
      <c r="AE15" s="35" t="s">
        <v>126</v>
      </c>
      <c r="AF15" s="35" t="s">
        <v>103</v>
      </c>
      <c r="AG15" s="35" t="s">
        <v>103</v>
      </c>
      <c r="AH15" s="35" t="s">
        <v>103</v>
      </c>
      <c r="AI15" s="35" t="s">
        <v>103</v>
      </c>
      <c r="AJ15" s="35" t="s">
        <v>109</v>
      </c>
      <c r="AK15" s="35" t="s">
        <v>99</v>
      </c>
      <c r="AL15" s="35" t="s">
        <v>159</v>
      </c>
      <c r="AM15" s="35" t="s">
        <v>103</v>
      </c>
      <c r="AN15" s="35" t="s">
        <v>103</v>
      </c>
      <c r="AO15" s="35" t="s">
        <v>103</v>
      </c>
      <c r="AP15" s="35" t="s">
        <v>111</v>
      </c>
      <c r="AQ15" s="35" t="s">
        <v>169</v>
      </c>
      <c r="AR15" s="35" t="s">
        <v>113</v>
      </c>
      <c r="AS15" s="35" t="s">
        <v>114</v>
      </c>
    </row>
    <row r="16" spans="1:45">
      <c r="A16" s="36" t="s">
        <v>173</v>
      </c>
      <c r="B16" s="36" t="s">
        <v>90</v>
      </c>
      <c r="C16" s="36" t="s">
        <v>166</v>
      </c>
      <c r="D16" s="36" t="s">
        <v>174</v>
      </c>
      <c r="E16" s="36" t="s">
        <v>93</v>
      </c>
      <c r="F16" s="36">
        <v>1895</v>
      </c>
      <c r="G16" s="36" t="s">
        <v>118</v>
      </c>
      <c r="H16" s="36" t="s">
        <v>119</v>
      </c>
      <c r="I16" s="36" t="s">
        <v>96</v>
      </c>
      <c r="J16" s="36" t="s">
        <v>97</v>
      </c>
      <c r="K16" s="36" t="s">
        <v>132</v>
      </c>
      <c r="L16" s="36" t="s">
        <v>103</v>
      </c>
      <c r="M16" s="36" t="s">
        <v>103</v>
      </c>
      <c r="N16" s="36" t="s">
        <v>100</v>
      </c>
      <c r="O16" s="36"/>
      <c r="P16" s="36" t="s">
        <v>99</v>
      </c>
      <c r="Q16" s="36" t="s">
        <v>101</v>
      </c>
      <c r="R16" s="36" t="s">
        <v>134</v>
      </c>
      <c r="S16" s="36" t="s">
        <v>99</v>
      </c>
      <c r="T16" s="36" t="s">
        <v>103</v>
      </c>
      <c r="U16" s="36" t="s">
        <v>99</v>
      </c>
      <c r="V16" s="36" t="s">
        <v>124</v>
      </c>
      <c r="W16" s="36">
        <v>0</v>
      </c>
      <c r="X16" s="36" t="s">
        <v>175</v>
      </c>
      <c r="Y16" s="36" t="s">
        <v>136</v>
      </c>
      <c r="Z16" s="36" t="s">
        <v>107</v>
      </c>
      <c r="AA16" s="36" t="s">
        <v>99</v>
      </c>
      <c r="AB16" s="36" t="s">
        <v>107</v>
      </c>
      <c r="AC16" s="36" t="s">
        <v>99</v>
      </c>
      <c r="AD16" s="36" t="s">
        <v>99</v>
      </c>
      <c r="AE16" s="36" t="s">
        <v>164</v>
      </c>
      <c r="AF16" s="36" t="s">
        <v>99</v>
      </c>
      <c r="AG16" s="36" t="s">
        <v>99</v>
      </c>
      <c r="AH16" s="36" t="s">
        <v>99</v>
      </c>
      <c r="AI16" s="36" t="s">
        <v>103</v>
      </c>
      <c r="AJ16" s="36" t="s">
        <v>137</v>
      </c>
      <c r="AK16" s="36" t="s">
        <v>99</v>
      </c>
      <c r="AL16" s="36" t="s">
        <v>110</v>
      </c>
      <c r="AM16" s="36" t="s">
        <v>103</v>
      </c>
      <c r="AN16" s="36" t="s">
        <v>103</v>
      </c>
      <c r="AO16" s="36" t="s">
        <v>103</v>
      </c>
      <c r="AP16" s="36" t="s">
        <v>111</v>
      </c>
      <c r="AQ16" s="36" t="s">
        <v>112</v>
      </c>
      <c r="AR16" s="36" t="s">
        <v>119</v>
      </c>
      <c r="AS16" s="36" t="s">
        <v>154</v>
      </c>
    </row>
    <row r="17" spans="1:45">
      <c r="A17" s="35" t="s">
        <v>176</v>
      </c>
      <c r="B17" s="35" t="s">
        <v>90</v>
      </c>
      <c r="C17" s="35" t="s">
        <v>145</v>
      </c>
      <c r="D17" s="35" t="s">
        <v>146</v>
      </c>
      <c r="E17" s="35" t="s">
        <v>93</v>
      </c>
      <c r="F17" s="35">
        <v>1890</v>
      </c>
      <c r="G17" s="35" t="s">
        <v>151</v>
      </c>
      <c r="H17" s="35" t="s">
        <v>119</v>
      </c>
      <c r="I17" s="35" t="s">
        <v>120</v>
      </c>
      <c r="J17" s="35" t="s">
        <v>97</v>
      </c>
      <c r="K17" s="35" t="s">
        <v>158</v>
      </c>
      <c r="L17" s="35" t="s">
        <v>99</v>
      </c>
      <c r="M17" s="35" t="s">
        <v>103</v>
      </c>
      <c r="N17" s="35" t="s">
        <v>133</v>
      </c>
      <c r="O17" s="35"/>
      <c r="P17" s="35" t="s">
        <v>99</v>
      </c>
      <c r="Q17" s="35" t="s">
        <v>101</v>
      </c>
      <c r="R17" s="35" t="s">
        <v>123</v>
      </c>
      <c r="S17" s="35" t="s">
        <v>103</v>
      </c>
      <c r="T17" s="35" t="s">
        <v>99</v>
      </c>
      <c r="U17" s="35" t="s">
        <v>99</v>
      </c>
      <c r="V17" s="35" t="s">
        <v>124</v>
      </c>
      <c r="W17" s="35">
        <v>3</v>
      </c>
      <c r="X17" s="35" t="s">
        <v>104</v>
      </c>
      <c r="Y17" s="35" t="s">
        <v>105</v>
      </c>
      <c r="Z17" s="35" t="s">
        <v>125</v>
      </c>
      <c r="AA17" s="35" t="s">
        <v>99</v>
      </c>
      <c r="AB17" s="35" t="s">
        <v>107</v>
      </c>
      <c r="AC17" s="35" t="s">
        <v>103</v>
      </c>
      <c r="AD17" s="35" t="s">
        <v>103</v>
      </c>
      <c r="AE17" s="35" t="s">
        <v>126</v>
      </c>
      <c r="AF17" s="35" t="s">
        <v>99</v>
      </c>
      <c r="AG17" s="35" t="s">
        <v>99</v>
      </c>
      <c r="AH17" s="35" t="s">
        <v>99</v>
      </c>
      <c r="AI17" s="35" t="s">
        <v>103</v>
      </c>
      <c r="AJ17" s="35" t="s">
        <v>109</v>
      </c>
      <c r="AK17" s="35" t="s">
        <v>99</v>
      </c>
      <c r="AL17" s="35" t="s">
        <v>159</v>
      </c>
      <c r="AM17" s="35" t="s">
        <v>103</v>
      </c>
      <c r="AN17" s="35" t="s">
        <v>103</v>
      </c>
      <c r="AO17" s="35" t="s">
        <v>103</v>
      </c>
      <c r="AP17" s="35" t="s">
        <v>111</v>
      </c>
      <c r="AQ17" s="35" t="s">
        <v>112</v>
      </c>
      <c r="AR17" s="35" t="s">
        <v>95</v>
      </c>
      <c r="AS17" s="35" t="s">
        <v>154</v>
      </c>
    </row>
    <row r="18" spans="1:45">
      <c r="A18" s="36" t="s">
        <v>177</v>
      </c>
      <c r="B18" s="36" t="s">
        <v>90</v>
      </c>
      <c r="C18" s="36" t="s">
        <v>139</v>
      </c>
      <c r="D18" s="36" t="s">
        <v>162</v>
      </c>
      <c r="E18" s="36" t="s">
        <v>93</v>
      </c>
      <c r="F18" s="36">
        <v>1902</v>
      </c>
      <c r="G18" s="36" t="s">
        <v>118</v>
      </c>
      <c r="H18" s="36" t="s">
        <v>119</v>
      </c>
      <c r="I18" s="36" t="s">
        <v>96</v>
      </c>
      <c r="J18" s="36" t="s">
        <v>97</v>
      </c>
      <c r="K18" s="36" t="s">
        <v>98</v>
      </c>
      <c r="L18" s="36" t="s">
        <v>103</v>
      </c>
      <c r="M18" s="36" t="s">
        <v>103</v>
      </c>
      <c r="N18" s="36" t="s">
        <v>100</v>
      </c>
      <c r="O18" s="36"/>
      <c r="P18" s="36" t="s">
        <v>99</v>
      </c>
      <c r="Q18" s="36" t="s">
        <v>101</v>
      </c>
      <c r="R18" s="36" t="s">
        <v>134</v>
      </c>
      <c r="S18" s="36" t="s">
        <v>99</v>
      </c>
      <c r="T18" s="36" t="s">
        <v>103</v>
      </c>
      <c r="U18" s="36" t="s">
        <v>103</v>
      </c>
      <c r="V18" s="36"/>
      <c r="W18" s="36">
        <v>3</v>
      </c>
      <c r="X18" s="36" t="s">
        <v>135</v>
      </c>
      <c r="Y18" s="36" t="s">
        <v>136</v>
      </c>
      <c r="Z18" s="36" t="s">
        <v>107</v>
      </c>
      <c r="AA18" s="36" t="s">
        <v>99</v>
      </c>
      <c r="AB18" s="36" t="s">
        <v>107</v>
      </c>
      <c r="AC18" s="36" t="s">
        <v>103</v>
      </c>
      <c r="AD18" s="36" t="s">
        <v>99</v>
      </c>
      <c r="AE18" s="36" t="s">
        <v>108</v>
      </c>
      <c r="AF18" s="36" t="s">
        <v>99</v>
      </c>
      <c r="AG18" s="36" t="s">
        <v>99</v>
      </c>
      <c r="AH18" s="36" t="s">
        <v>99</v>
      </c>
      <c r="AI18" s="36" t="s">
        <v>99</v>
      </c>
      <c r="AJ18" s="36" t="s">
        <v>109</v>
      </c>
      <c r="AK18" s="36" t="s">
        <v>99</v>
      </c>
      <c r="AL18" s="36" t="s">
        <v>159</v>
      </c>
      <c r="AM18" s="36" t="s">
        <v>103</v>
      </c>
      <c r="AN18" s="36" t="s">
        <v>103</v>
      </c>
      <c r="AO18" s="36" t="s">
        <v>103</v>
      </c>
      <c r="AP18" s="36" t="s">
        <v>111</v>
      </c>
      <c r="AQ18" s="36" t="s">
        <v>153</v>
      </c>
      <c r="AR18" s="36" t="s">
        <v>95</v>
      </c>
      <c r="AS18" s="36" t="s">
        <v>154</v>
      </c>
    </row>
    <row r="19" spans="1:45">
      <c r="A19" s="35" t="s">
        <v>178</v>
      </c>
      <c r="B19" s="35" t="s">
        <v>90</v>
      </c>
      <c r="C19" s="35" t="s">
        <v>139</v>
      </c>
      <c r="D19" s="35" t="s">
        <v>140</v>
      </c>
      <c r="E19" s="35" t="s">
        <v>141</v>
      </c>
      <c r="F19" s="35">
        <v>1900</v>
      </c>
      <c r="G19" s="35" t="s">
        <v>118</v>
      </c>
      <c r="H19" s="35" t="s">
        <v>113</v>
      </c>
      <c r="I19" s="35" t="s">
        <v>163</v>
      </c>
      <c r="J19" s="35" t="s">
        <v>97</v>
      </c>
      <c r="K19" s="35" t="s">
        <v>158</v>
      </c>
      <c r="L19" s="35" t="s">
        <v>103</v>
      </c>
      <c r="M19" s="35" t="s">
        <v>103</v>
      </c>
      <c r="N19" s="35" t="s">
        <v>100</v>
      </c>
      <c r="O19" s="35"/>
      <c r="P19" s="35" t="s">
        <v>99</v>
      </c>
      <c r="Q19" s="35" t="s">
        <v>101</v>
      </c>
      <c r="R19" s="35" t="s">
        <v>134</v>
      </c>
      <c r="S19" s="35" t="s">
        <v>99</v>
      </c>
      <c r="T19" s="35" t="s">
        <v>103</v>
      </c>
      <c r="U19" s="35" t="s">
        <v>103</v>
      </c>
      <c r="V19" s="35"/>
      <c r="W19" s="35">
        <v>3</v>
      </c>
      <c r="X19" s="35" t="s">
        <v>135</v>
      </c>
      <c r="Y19" s="35" t="s">
        <v>105</v>
      </c>
      <c r="Z19" s="35" t="s">
        <v>107</v>
      </c>
      <c r="AA19" s="35" t="s">
        <v>103</v>
      </c>
      <c r="AB19" s="35" t="s">
        <v>107</v>
      </c>
      <c r="AC19" s="35" t="s">
        <v>103</v>
      </c>
      <c r="AD19" s="35" t="s">
        <v>103</v>
      </c>
      <c r="AE19" s="35" t="s">
        <v>126</v>
      </c>
      <c r="AF19" s="35" t="s">
        <v>103</v>
      </c>
      <c r="AG19" s="35" t="s">
        <v>103</v>
      </c>
      <c r="AH19" s="35" t="s">
        <v>103</v>
      </c>
      <c r="AI19" s="35" t="s">
        <v>103</v>
      </c>
      <c r="AJ19" s="35" t="s">
        <v>137</v>
      </c>
      <c r="AK19" s="35" t="s">
        <v>99</v>
      </c>
      <c r="AL19" s="35" t="s">
        <v>110</v>
      </c>
      <c r="AM19" s="35" t="s">
        <v>103</v>
      </c>
      <c r="AN19" s="35" t="s">
        <v>103</v>
      </c>
      <c r="AO19" s="35" t="s">
        <v>103</v>
      </c>
      <c r="AP19" s="35" t="s">
        <v>111</v>
      </c>
      <c r="AQ19" s="35" t="s">
        <v>112</v>
      </c>
      <c r="AR19" s="35" t="s">
        <v>113</v>
      </c>
      <c r="AS19" s="35" t="s">
        <v>114</v>
      </c>
    </row>
    <row r="20" spans="1:45">
      <c r="A20" s="36" t="s">
        <v>179</v>
      </c>
      <c r="B20" s="36" t="s">
        <v>90</v>
      </c>
      <c r="C20" s="36" t="s">
        <v>91</v>
      </c>
      <c r="D20" s="36" t="s">
        <v>150</v>
      </c>
      <c r="E20" s="36" t="s">
        <v>141</v>
      </c>
      <c r="F20" s="36">
        <v>1887</v>
      </c>
      <c r="G20" s="36" t="s">
        <v>142</v>
      </c>
      <c r="H20" s="36" t="s">
        <v>113</v>
      </c>
      <c r="I20" s="36" t="s">
        <v>96</v>
      </c>
      <c r="J20" s="36" t="s">
        <v>97</v>
      </c>
      <c r="K20" s="36" t="s">
        <v>121</v>
      </c>
      <c r="L20" s="36" t="s">
        <v>103</v>
      </c>
      <c r="M20" s="36" t="s">
        <v>99</v>
      </c>
      <c r="N20" s="36" t="s">
        <v>100</v>
      </c>
      <c r="O20" s="36"/>
      <c r="P20" s="36" t="s">
        <v>99</v>
      </c>
      <c r="Q20" s="36" t="s">
        <v>101</v>
      </c>
      <c r="R20" s="36" t="s">
        <v>102</v>
      </c>
      <c r="S20" s="36" t="s">
        <v>99</v>
      </c>
      <c r="T20" s="36" t="s">
        <v>103</v>
      </c>
      <c r="U20" s="36" t="s">
        <v>103</v>
      </c>
      <c r="V20" s="36"/>
      <c r="W20" s="36">
        <v>1</v>
      </c>
      <c r="X20" s="36" t="s">
        <v>104</v>
      </c>
      <c r="Y20" s="36" t="s">
        <v>136</v>
      </c>
      <c r="Z20" s="36" t="s">
        <v>106</v>
      </c>
      <c r="AA20" s="36" t="s">
        <v>99</v>
      </c>
      <c r="AB20" s="36" t="s">
        <v>125</v>
      </c>
      <c r="AC20" s="36" t="s">
        <v>99</v>
      </c>
      <c r="AD20" s="36" t="s">
        <v>103</v>
      </c>
      <c r="AE20" s="36" t="s">
        <v>108</v>
      </c>
      <c r="AF20" s="36" t="s">
        <v>99</v>
      </c>
      <c r="AG20" s="36" t="s">
        <v>103</v>
      </c>
      <c r="AH20" s="36" t="s">
        <v>103</v>
      </c>
      <c r="AI20" s="36" t="s">
        <v>103</v>
      </c>
      <c r="AJ20" s="36" t="s">
        <v>109</v>
      </c>
      <c r="AK20" s="36" t="s">
        <v>99</v>
      </c>
      <c r="AL20" s="36" t="s">
        <v>159</v>
      </c>
      <c r="AM20" s="36" t="s">
        <v>103</v>
      </c>
      <c r="AN20" s="36" t="s">
        <v>103</v>
      </c>
      <c r="AO20" s="36" t="s">
        <v>103</v>
      </c>
      <c r="AP20" s="36" t="s">
        <v>111</v>
      </c>
      <c r="AQ20" s="36" t="s">
        <v>160</v>
      </c>
      <c r="AR20" s="36" t="s">
        <v>119</v>
      </c>
      <c r="AS20" s="36" t="s">
        <v>154</v>
      </c>
    </row>
    <row r="21" spans="1:45">
      <c r="A21" s="35" t="s">
        <v>180</v>
      </c>
      <c r="B21" s="35" t="s">
        <v>90</v>
      </c>
      <c r="C21" s="35" t="s">
        <v>116</v>
      </c>
      <c r="D21" s="35" t="s">
        <v>181</v>
      </c>
      <c r="E21" s="35" t="s">
        <v>168</v>
      </c>
      <c r="F21" s="35">
        <v>1873</v>
      </c>
      <c r="G21" s="35" t="s">
        <v>151</v>
      </c>
      <c r="H21" s="35" t="s">
        <v>95</v>
      </c>
      <c r="I21" s="35" t="s">
        <v>152</v>
      </c>
      <c r="J21" s="35" t="s">
        <v>152</v>
      </c>
      <c r="K21" s="35" t="s">
        <v>132</v>
      </c>
      <c r="L21" s="35" t="s">
        <v>103</v>
      </c>
      <c r="M21" s="35" t="s">
        <v>99</v>
      </c>
      <c r="N21" s="35" t="s">
        <v>100</v>
      </c>
      <c r="O21" s="35"/>
      <c r="P21" s="35" t="s">
        <v>99</v>
      </c>
      <c r="Q21" s="35" t="s">
        <v>101</v>
      </c>
      <c r="R21" s="35" t="s">
        <v>134</v>
      </c>
      <c r="S21" s="35" t="s">
        <v>99</v>
      </c>
      <c r="T21" s="35" t="s">
        <v>103</v>
      </c>
      <c r="U21" s="35" t="s">
        <v>103</v>
      </c>
      <c r="V21" s="35"/>
      <c r="W21" s="35">
        <v>4</v>
      </c>
      <c r="X21" s="35" t="s">
        <v>104</v>
      </c>
      <c r="Y21" s="35" t="s">
        <v>105</v>
      </c>
      <c r="Z21" s="35" t="s">
        <v>107</v>
      </c>
      <c r="AA21" s="35" t="s">
        <v>99</v>
      </c>
      <c r="AB21" s="35" t="s">
        <v>107</v>
      </c>
      <c r="AC21" s="35" t="s">
        <v>103</v>
      </c>
      <c r="AD21" s="35" t="s">
        <v>103</v>
      </c>
      <c r="AE21" s="35" t="s">
        <v>108</v>
      </c>
      <c r="AF21" s="35" t="s">
        <v>99</v>
      </c>
      <c r="AG21" s="35" t="s">
        <v>99</v>
      </c>
      <c r="AH21" s="35" t="s">
        <v>99</v>
      </c>
      <c r="AI21" s="35" t="s">
        <v>103</v>
      </c>
      <c r="AJ21" s="35" t="s">
        <v>137</v>
      </c>
      <c r="AK21" s="35" t="s">
        <v>99</v>
      </c>
      <c r="AL21" s="35" t="s">
        <v>110</v>
      </c>
      <c r="AM21" s="35" t="s">
        <v>103</v>
      </c>
      <c r="AN21" s="35" t="s">
        <v>99</v>
      </c>
      <c r="AO21" s="35" t="s">
        <v>103</v>
      </c>
      <c r="AP21" s="35" t="s">
        <v>111</v>
      </c>
      <c r="AQ21" s="35" t="s">
        <v>169</v>
      </c>
      <c r="AR21" s="35" t="s">
        <v>113</v>
      </c>
      <c r="AS21" s="35" t="s">
        <v>114</v>
      </c>
    </row>
    <row r="22" spans="1:45">
      <c r="A22" s="36" t="s">
        <v>182</v>
      </c>
      <c r="B22" s="36" t="s">
        <v>90</v>
      </c>
      <c r="C22" s="36" t="s">
        <v>145</v>
      </c>
      <c r="D22" s="36" t="s">
        <v>172</v>
      </c>
      <c r="E22" s="36" t="s">
        <v>168</v>
      </c>
      <c r="F22" s="36">
        <v>1895</v>
      </c>
      <c r="G22" s="36" t="s">
        <v>118</v>
      </c>
      <c r="H22" s="36" t="s">
        <v>113</v>
      </c>
      <c r="I22" s="36" t="s">
        <v>163</v>
      </c>
      <c r="J22" s="36" t="s">
        <v>97</v>
      </c>
      <c r="K22" s="36" t="s">
        <v>121</v>
      </c>
      <c r="L22" s="36" t="s">
        <v>99</v>
      </c>
      <c r="M22" s="36" t="s">
        <v>103</v>
      </c>
      <c r="N22" s="36" t="s">
        <v>100</v>
      </c>
      <c r="O22" s="36"/>
      <c r="P22" s="36" t="s">
        <v>99</v>
      </c>
      <c r="Q22" s="36" t="s">
        <v>122</v>
      </c>
      <c r="R22" s="36" t="s">
        <v>102</v>
      </c>
      <c r="S22" s="36" t="s">
        <v>103</v>
      </c>
      <c r="T22" s="36" t="s">
        <v>99</v>
      </c>
      <c r="U22" s="36" t="s">
        <v>103</v>
      </c>
      <c r="V22" s="36"/>
      <c r="W22" s="36">
        <v>1</v>
      </c>
      <c r="X22" s="36" t="s">
        <v>104</v>
      </c>
      <c r="Y22" s="36" t="s">
        <v>105</v>
      </c>
      <c r="Z22" s="36" t="s">
        <v>107</v>
      </c>
      <c r="AA22" s="36" t="s">
        <v>99</v>
      </c>
      <c r="AB22" s="36" t="s">
        <v>106</v>
      </c>
      <c r="AC22" s="36" t="s">
        <v>103</v>
      </c>
      <c r="AD22" s="36" t="s">
        <v>103</v>
      </c>
      <c r="AE22" s="36" t="s">
        <v>164</v>
      </c>
      <c r="AF22" s="36" t="s">
        <v>99</v>
      </c>
      <c r="AG22" s="36" t="s">
        <v>99</v>
      </c>
      <c r="AH22" s="36" t="s">
        <v>99</v>
      </c>
      <c r="AI22" s="36" t="s">
        <v>99</v>
      </c>
      <c r="AJ22" s="36" t="s">
        <v>127</v>
      </c>
      <c r="AK22" s="36" t="s">
        <v>99</v>
      </c>
      <c r="AL22" s="36" t="s">
        <v>110</v>
      </c>
      <c r="AM22" s="36" t="s">
        <v>103</v>
      </c>
      <c r="AN22" s="36" t="s">
        <v>103</v>
      </c>
      <c r="AO22" s="36" t="s">
        <v>103</v>
      </c>
      <c r="AP22" s="36" t="s">
        <v>111</v>
      </c>
      <c r="AQ22" s="36" t="s">
        <v>160</v>
      </c>
      <c r="AR22" s="36" t="s">
        <v>113</v>
      </c>
      <c r="AS22" s="36" t="s">
        <v>114</v>
      </c>
    </row>
    <row r="23" spans="1:45">
      <c r="A23" s="35" t="s">
        <v>183</v>
      </c>
      <c r="B23" s="35" t="s">
        <v>90</v>
      </c>
      <c r="C23" s="35" t="s">
        <v>116</v>
      </c>
      <c r="D23" s="35" t="s">
        <v>181</v>
      </c>
      <c r="E23" s="35" t="s">
        <v>168</v>
      </c>
      <c r="F23" s="35">
        <v>1909</v>
      </c>
      <c r="G23" s="35" t="s">
        <v>151</v>
      </c>
      <c r="H23" s="35" t="s">
        <v>119</v>
      </c>
      <c r="I23" s="35" t="s">
        <v>96</v>
      </c>
      <c r="J23" s="35" t="s">
        <v>97</v>
      </c>
      <c r="K23" s="35" t="s">
        <v>158</v>
      </c>
      <c r="L23" s="35" t="s">
        <v>103</v>
      </c>
      <c r="M23" s="35" t="s">
        <v>103</v>
      </c>
      <c r="N23" s="35" t="s">
        <v>100</v>
      </c>
      <c r="O23" s="35"/>
      <c r="P23" s="35" t="s">
        <v>99</v>
      </c>
      <c r="Q23" s="35" t="s">
        <v>101</v>
      </c>
      <c r="R23" s="35" t="s">
        <v>123</v>
      </c>
      <c r="S23" s="35" t="s">
        <v>99</v>
      </c>
      <c r="T23" s="35" t="s">
        <v>103</v>
      </c>
      <c r="U23" s="35" t="s">
        <v>103</v>
      </c>
      <c r="V23" s="35"/>
      <c r="W23" s="35">
        <v>5</v>
      </c>
      <c r="X23" s="35" t="s">
        <v>104</v>
      </c>
      <c r="Y23" s="35" t="s">
        <v>105</v>
      </c>
      <c r="Z23" s="35" t="s">
        <v>125</v>
      </c>
      <c r="AA23" s="35" t="s">
        <v>103</v>
      </c>
      <c r="AB23" s="35" t="s">
        <v>107</v>
      </c>
      <c r="AC23" s="35" t="s">
        <v>103</v>
      </c>
      <c r="AD23" s="35" t="s">
        <v>103</v>
      </c>
      <c r="AE23" s="35" t="s">
        <v>108</v>
      </c>
      <c r="AF23" s="35" t="s">
        <v>99</v>
      </c>
      <c r="AG23" s="35" t="s">
        <v>103</v>
      </c>
      <c r="AH23" s="35" t="s">
        <v>103</v>
      </c>
      <c r="AI23" s="35" t="s">
        <v>103</v>
      </c>
      <c r="AJ23" s="35" t="s">
        <v>137</v>
      </c>
      <c r="AK23" s="35" t="s">
        <v>99</v>
      </c>
      <c r="AL23" s="35" t="s">
        <v>159</v>
      </c>
      <c r="AM23" s="35" t="s">
        <v>103</v>
      </c>
      <c r="AN23" s="35" t="s">
        <v>99</v>
      </c>
      <c r="AO23" s="35" t="s">
        <v>103</v>
      </c>
      <c r="AP23" s="35" t="s">
        <v>111</v>
      </c>
      <c r="AQ23" s="35" t="s">
        <v>112</v>
      </c>
      <c r="AR23" s="35" t="s">
        <v>113</v>
      </c>
      <c r="AS23" s="35" t="s">
        <v>114</v>
      </c>
    </row>
    <row r="24" spans="1:45">
      <c r="A24" s="36" t="s">
        <v>184</v>
      </c>
      <c r="B24" s="36" t="s">
        <v>90</v>
      </c>
      <c r="C24" s="36" t="s">
        <v>166</v>
      </c>
      <c r="D24" s="36" t="s">
        <v>167</v>
      </c>
      <c r="E24" s="36" t="s">
        <v>168</v>
      </c>
      <c r="F24" s="36">
        <v>1901</v>
      </c>
      <c r="G24" s="36" t="s">
        <v>142</v>
      </c>
      <c r="H24" s="36" t="s">
        <v>119</v>
      </c>
      <c r="I24" s="36" t="s">
        <v>143</v>
      </c>
      <c r="J24" s="36" t="s">
        <v>97</v>
      </c>
      <c r="K24" s="36" t="s">
        <v>158</v>
      </c>
      <c r="L24" s="36" t="s">
        <v>103</v>
      </c>
      <c r="M24" s="36" t="s">
        <v>99</v>
      </c>
      <c r="N24" s="36" t="s">
        <v>100</v>
      </c>
      <c r="O24" s="36"/>
      <c r="P24" s="36" t="s">
        <v>99</v>
      </c>
      <c r="Q24" s="36" t="s">
        <v>122</v>
      </c>
      <c r="R24" s="36" t="s">
        <v>102</v>
      </c>
      <c r="S24" s="36" t="s">
        <v>103</v>
      </c>
      <c r="T24" s="36" t="s">
        <v>99</v>
      </c>
      <c r="U24" s="36" t="s">
        <v>103</v>
      </c>
      <c r="V24" s="36"/>
      <c r="W24" s="36">
        <v>1</v>
      </c>
      <c r="X24" s="36" t="s">
        <v>135</v>
      </c>
      <c r="Y24" s="36" t="s">
        <v>105</v>
      </c>
      <c r="Z24" s="36" t="s">
        <v>125</v>
      </c>
      <c r="AA24" s="36" t="s">
        <v>99</v>
      </c>
      <c r="AB24" s="36" t="s">
        <v>125</v>
      </c>
      <c r="AC24" s="36" t="s">
        <v>103</v>
      </c>
      <c r="AD24" s="36" t="s">
        <v>99</v>
      </c>
      <c r="AE24" s="36" t="s">
        <v>126</v>
      </c>
      <c r="AF24" s="36" t="s">
        <v>99</v>
      </c>
      <c r="AG24" s="36" t="s">
        <v>99</v>
      </c>
      <c r="AH24" s="36" t="s">
        <v>99</v>
      </c>
      <c r="AI24" s="36" t="s">
        <v>103</v>
      </c>
      <c r="AJ24" s="36" t="s">
        <v>127</v>
      </c>
      <c r="AK24" s="36" t="s">
        <v>103</v>
      </c>
      <c r="AL24" s="36"/>
      <c r="AM24" s="36" t="s">
        <v>103</v>
      </c>
      <c r="AN24" s="36" t="s">
        <v>103</v>
      </c>
      <c r="AO24" s="36" t="s">
        <v>103</v>
      </c>
      <c r="AP24" s="36" t="s">
        <v>111</v>
      </c>
      <c r="AQ24" s="36" t="s">
        <v>169</v>
      </c>
      <c r="AR24" s="36" t="s">
        <v>113</v>
      </c>
      <c r="AS24" s="36" t="s">
        <v>114</v>
      </c>
    </row>
    <row r="25" spans="1:45">
      <c r="A25" s="35" t="s">
        <v>185</v>
      </c>
      <c r="B25" s="35" t="s">
        <v>90</v>
      </c>
      <c r="C25" s="35" t="s">
        <v>139</v>
      </c>
      <c r="D25" s="35" t="s">
        <v>162</v>
      </c>
      <c r="E25" s="35" t="s">
        <v>93</v>
      </c>
      <c r="F25" s="35">
        <v>1874</v>
      </c>
      <c r="G25" s="35" t="s">
        <v>94</v>
      </c>
      <c r="H25" s="35" t="s">
        <v>95</v>
      </c>
      <c r="I25" s="35" t="s">
        <v>152</v>
      </c>
      <c r="J25" s="35" t="s">
        <v>152</v>
      </c>
      <c r="K25" s="35" t="s">
        <v>158</v>
      </c>
      <c r="L25" s="35" t="s">
        <v>99</v>
      </c>
      <c r="M25" s="35" t="s">
        <v>103</v>
      </c>
      <c r="N25" s="35" t="s">
        <v>100</v>
      </c>
      <c r="O25" s="35"/>
      <c r="P25" s="35" t="s">
        <v>99</v>
      </c>
      <c r="Q25" s="35" t="s">
        <v>127</v>
      </c>
      <c r="R25" s="35" t="s">
        <v>102</v>
      </c>
      <c r="S25" s="35" t="s">
        <v>103</v>
      </c>
      <c r="T25" s="35" t="s">
        <v>99</v>
      </c>
      <c r="U25" s="35" t="s">
        <v>99</v>
      </c>
      <c r="V25" s="35" t="s">
        <v>124</v>
      </c>
      <c r="W25" s="35">
        <v>4</v>
      </c>
      <c r="X25" s="35" t="s">
        <v>135</v>
      </c>
      <c r="Y25" s="35" t="s">
        <v>105</v>
      </c>
      <c r="Z25" s="35" t="s">
        <v>107</v>
      </c>
      <c r="AA25" s="35" t="s">
        <v>99</v>
      </c>
      <c r="AB25" s="35" t="s">
        <v>125</v>
      </c>
      <c r="AC25" s="35" t="s">
        <v>103</v>
      </c>
      <c r="AD25" s="35" t="s">
        <v>103</v>
      </c>
      <c r="AE25" s="35" t="s">
        <v>126</v>
      </c>
      <c r="AF25" s="35" t="s">
        <v>99</v>
      </c>
      <c r="AG25" s="35" t="s">
        <v>99</v>
      </c>
      <c r="AH25" s="35" t="s">
        <v>99</v>
      </c>
      <c r="AI25" s="35" t="s">
        <v>103</v>
      </c>
      <c r="AJ25" s="35" t="s">
        <v>109</v>
      </c>
      <c r="AK25" s="35" t="s">
        <v>99</v>
      </c>
      <c r="AL25" s="35" t="s">
        <v>159</v>
      </c>
      <c r="AM25" s="35" t="s">
        <v>103</v>
      </c>
      <c r="AN25" s="35" t="s">
        <v>99</v>
      </c>
      <c r="AO25" s="35" t="s">
        <v>103</v>
      </c>
      <c r="AP25" s="35" t="s">
        <v>111</v>
      </c>
      <c r="AQ25" s="35" t="s">
        <v>112</v>
      </c>
      <c r="AR25" s="35" t="s">
        <v>113</v>
      </c>
      <c r="AS25" s="35" t="s">
        <v>114</v>
      </c>
    </row>
    <row r="26" spans="1:45">
      <c r="A26" s="36" t="s">
        <v>186</v>
      </c>
      <c r="B26" s="36" t="s">
        <v>90</v>
      </c>
      <c r="C26" s="36" t="s">
        <v>166</v>
      </c>
      <c r="D26" s="36" t="s">
        <v>187</v>
      </c>
      <c r="E26" s="36" t="s">
        <v>141</v>
      </c>
      <c r="F26" s="36">
        <v>1906</v>
      </c>
      <c r="G26" s="36" t="s">
        <v>142</v>
      </c>
      <c r="H26" s="36" t="s">
        <v>113</v>
      </c>
      <c r="I26" s="36" t="s">
        <v>96</v>
      </c>
      <c r="J26" s="36" t="s">
        <v>97</v>
      </c>
      <c r="K26" s="36" t="s">
        <v>121</v>
      </c>
      <c r="L26" s="36" t="s">
        <v>103</v>
      </c>
      <c r="M26" s="36" t="s">
        <v>103</v>
      </c>
      <c r="N26" s="36" t="s">
        <v>100</v>
      </c>
      <c r="O26" s="36"/>
      <c r="P26" s="36" t="s">
        <v>99</v>
      </c>
      <c r="Q26" s="36" t="s">
        <v>101</v>
      </c>
      <c r="R26" s="36" t="s">
        <v>123</v>
      </c>
      <c r="S26" s="36" t="s">
        <v>99</v>
      </c>
      <c r="T26" s="36" t="s">
        <v>103</v>
      </c>
      <c r="U26" s="36" t="s">
        <v>103</v>
      </c>
      <c r="V26" s="36"/>
      <c r="W26" s="36">
        <v>1</v>
      </c>
      <c r="X26" s="36" t="s">
        <v>135</v>
      </c>
      <c r="Y26" s="36" t="s">
        <v>136</v>
      </c>
      <c r="Z26" s="36" t="s">
        <v>106</v>
      </c>
      <c r="AA26" s="36" t="s">
        <v>99</v>
      </c>
      <c r="AB26" s="36" t="s">
        <v>125</v>
      </c>
      <c r="AC26" s="36" t="s">
        <v>103</v>
      </c>
      <c r="AD26" s="36" t="s">
        <v>103</v>
      </c>
      <c r="AE26" s="36" t="s">
        <v>164</v>
      </c>
      <c r="AF26" s="36" t="s">
        <v>103</v>
      </c>
      <c r="AG26" s="36" t="s">
        <v>103</v>
      </c>
      <c r="AH26" s="36" t="s">
        <v>103</v>
      </c>
      <c r="AI26" s="36" t="s">
        <v>103</v>
      </c>
      <c r="AJ26" s="36" t="s">
        <v>127</v>
      </c>
      <c r="AK26" s="36" t="s">
        <v>99</v>
      </c>
      <c r="AL26" s="36" t="s">
        <v>159</v>
      </c>
      <c r="AM26" s="36" t="s">
        <v>103</v>
      </c>
      <c r="AN26" s="36" t="s">
        <v>99</v>
      </c>
      <c r="AO26" s="36" t="s">
        <v>103</v>
      </c>
      <c r="AP26" s="36" t="s">
        <v>111</v>
      </c>
      <c r="AQ26" s="36" t="s">
        <v>169</v>
      </c>
      <c r="AR26" s="36" t="s">
        <v>113</v>
      </c>
      <c r="AS26" s="36" t="s">
        <v>114</v>
      </c>
    </row>
    <row r="27" spans="1:45">
      <c r="A27" s="35" t="s">
        <v>188</v>
      </c>
      <c r="B27" s="35" t="s">
        <v>90</v>
      </c>
      <c r="C27" s="35" t="s">
        <v>139</v>
      </c>
      <c r="D27" s="35" t="s">
        <v>140</v>
      </c>
      <c r="E27" s="35" t="s">
        <v>141</v>
      </c>
      <c r="F27" s="35">
        <v>1895</v>
      </c>
      <c r="G27" s="35" t="s">
        <v>118</v>
      </c>
      <c r="H27" s="35" t="s">
        <v>113</v>
      </c>
      <c r="I27" s="35" t="s">
        <v>96</v>
      </c>
      <c r="J27" s="35" t="s">
        <v>97</v>
      </c>
      <c r="K27" s="35" t="s">
        <v>158</v>
      </c>
      <c r="L27" s="35" t="s">
        <v>99</v>
      </c>
      <c r="M27" s="35" t="s">
        <v>103</v>
      </c>
      <c r="N27" s="35" t="s">
        <v>100</v>
      </c>
      <c r="O27" s="35"/>
      <c r="P27" s="35" t="s">
        <v>99</v>
      </c>
      <c r="Q27" s="35" t="s">
        <v>101</v>
      </c>
      <c r="R27" s="35" t="s">
        <v>102</v>
      </c>
      <c r="S27" s="35" t="s">
        <v>99</v>
      </c>
      <c r="T27" s="35" t="s">
        <v>103</v>
      </c>
      <c r="U27" s="35" t="s">
        <v>103</v>
      </c>
      <c r="V27" s="35"/>
      <c r="W27" s="35">
        <v>3</v>
      </c>
      <c r="X27" s="35" t="s">
        <v>135</v>
      </c>
      <c r="Y27" s="35" t="s">
        <v>136</v>
      </c>
      <c r="Z27" s="35" t="s">
        <v>106</v>
      </c>
      <c r="AA27" s="35" t="s">
        <v>99</v>
      </c>
      <c r="AB27" s="35" t="s">
        <v>106</v>
      </c>
      <c r="AC27" s="35" t="s">
        <v>103</v>
      </c>
      <c r="AD27" s="35" t="s">
        <v>103</v>
      </c>
      <c r="AE27" s="35" t="s">
        <v>108</v>
      </c>
      <c r="AF27" s="35" t="s">
        <v>99</v>
      </c>
      <c r="AG27" s="35" t="s">
        <v>99</v>
      </c>
      <c r="AH27" s="35" t="s">
        <v>99</v>
      </c>
      <c r="AI27" s="35" t="s">
        <v>103</v>
      </c>
      <c r="AJ27" s="35" t="s">
        <v>137</v>
      </c>
      <c r="AK27" s="35" t="s">
        <v>99</v>
      </c>
      <c r="AL27" s="35" t="s">
        <v>159</v>
      </c>
      <c r="AM27" s="35" t="s">
        <v>103</v>
      </c>
      <c r="AN27" s="35" t="s">
        <v>99</v>
      </c>
      <c r="AO27" s="35" t="s">
        <v>103</v>
      </c>
      <c r="AP27" s="35" t="s">
        <v>111</v>
      </c>
      <c r="AQ27" s="35" t="s">
        <v>112</v>
      </c>
      <c r="AR27" s="35" t="s">
        <v>113</v>
      </c>
      <c r="AS27" s="35" t="s">
        <v>114</v>
      </c>
    </row>
    <row r="28" spans="1:45">
      <c r="A28" s="36" t="s">
        <v>189</v>
      </c>
      <c r="B28" s="36" t="s">
        <v>90</v>
      </c>
      <c r="C28" s="36" t="s">
        <v>145</v>
      </c>
      <c r="D28" s="36" t="s">
        <v>146</v>
      </c>
      <c r="E28" s="36" t="s">
        <v>93</v>
      </c>
      <c r="F28" s="36">
        <v>1900</v>
      </c>
      <c r="G28" s="36" t="s">
        <v>151</v>
      </c>
      <c r="H28" s="36" t="s">
        <v>95</v>
      </c>
      <c r="I28" s="36" t="s">
        <v>96</v>
      </c>
      <c r="J28" s="36" t="s">
        <v>97</v>
      </c>
      <c r="K28" s="36" t="s">
        <v>121</v>
      </c>
      <c r="L28" s="36" t="s">
        <v>103</v>
      </c>
      <c r="M28" s="36" t="s">
        <v>103</v>
      </c>
      <c r="N28" s="36" t="s">
        <v>100</v>
      </c>
      <c r="O28" s="36"/>
      <c r="P28" s="36" t="s">
        <v>99</v>
      </c>
      <c r="Q28" s="36" t="s">
        <v>127</v>
      </c>
      <c r="R28" s="36" t="s">
        <v>102</v>
      </c>
      <c r="S28" s="36" t="s">
        <v>103</v>
      </c>
      <c r="T28" s="36" t="s">
        <v>99</v>
      </c>
      <c r="U28" s="36" t="s">
        <v>103</v>
      </c>
      <c r="V28" s="36"/>
      <c r="W28" s="36">
        <v>1</v>
      </c>
      <c r="X28" s="36" t="s">
        <v>104</v>
      </c>
      <c r="Y28" s="36" t="s">
        <v>105</v>
      </c>
      <c r="Z28" s="36" t="s">
        <v>107</v>
      </c>
      <c r="AA28" s="36" t="s">
        <v>99</v>
      </c>
      <c r="AB28" s="36" t="s">
        <v>106</v>
      </c>
      <c r="AC28" s="36" t="s">
        <v>99</v>
      </c>
      <c r="AD28" s="36" t="s">
        <v>99</v>
      </c>
      <c r="AE28" s="36" t="s">
        <v>126</v>
      </c>
      <c r="AF28" s="36" t="s">
        <v>99</v>
      </c>
      <c r="AG28" s="36" t="s">
        <v>99</v>
      </c>
      <c r="AH28" s="36" t="s">
        <v>99</v>
      </c>
      <c r="AI28" s="36" t="s">
        <v>103</v>
      </c>
      <c r="AJ28" s="36" t="s">
        <v>137</v>
      </c>
      <c r="AK28" s="36" t="s">
        <v>99</v>
      </c>
      <c r="AL28" s="36" t="s">
        <v>159</v>
      </c>
      <c r="AM28" s="36" t="s">
        <v>103</v>
      </c>
      <c r="AN28" s="36" t="s">
        <v>103</v>
      </c>
      <c r="AO28" s="36" t="s">
        <v>103</v>
      </c>
      <c r="AP28" s="36" t="s">
        <v>111</v>
      </c>
      <c r="AQ28" s="36" t="s">
        <v>112</v>
      </c>
      <c r="AR28" s="36" t="s">
        <v>113</v>
      </c>
      <c r="AS28" s="36" t="s">
        <v>114</v>
      </c>
    </row>
    <row r="29" spans="1:45">
      <c r="A29" s="35" t="s">
        <v>190</v>
      </c>
      <c r="B29" s="35" t="s">
        <v>90</v>
      </c>
      <c r="C29" s="35" t="s">
        <v>156</v>
      </c>
      <c r="D29" s="35" t="s">
        <v>191</v>
      </c>
      <c r="E29" s="35" t="s">
        <v>168</v>
      </c>
      <c r="F29" s="35">
        <v>1892</v>
      </c>
      <c r="G29" s="35" t="s">
        <v>118</v>
      </c>
      <c r="H29" s="35" t="s">
        <v>95</v>
      </c>
      <c r="I29" s="35" t="s">
        <v>143</v>
      </c>
      <c r="J29" s="35" t="s">
        <v>97</v>
      </c>
      <c r="K29" s="35" t="s">
        <v>98</v>
      </c>
      <c r="L29" s="35" t="s">
        <v>103</v>
      </c>
      <c r="M29" s="35" t="s">
        <v>99</v>
      </c>
      <c r="N29" s="35" t="s">
        <v>133</v>
      </c>
      <c r="O29" s="35"/>
      <c r="P29" s="35" t="s">
        <v>99</v>
      </c>
      <c r="Q29" s="35" t="s">
        <v>101</v>
      </c>
      <c r="R29" s="35" t="s">
        <v>123</v>
      </c>
      <c r="S29" s="35" t="s">
        <v>99</v>
      </c>
      <c r="T29" s="35" t="s">
        <v>103</v>
      </c>
      <c r="U29" s="35" t="s">
        <v>99</v>
      </c>
      <c r="V29" s="35" t="s">
        <v>124</v>
      </c>
      <c r="W29" s="35">
        <v>1</v>
      </c>
      <c r="X29" s="35" t="s">
        <v>104</v>
      </c>
      <c r="Y29" s="35" t="s">
        <v>105</v>
      </c>
      <c r="Z29" s="35" t="s">
        <v>107</v>
      </c>
      <c r="AA29" s="35" t="s">
        <v>99</v>
      </c>
      <c r="AB29" s="35" t="s">
        <v>106</v>
      </c>
      <c r="AC29" s="35" t="s">
        <v>103</v>
      </c>
      <c r="AD29" s="35" t="s">
        <v>103</v>
      </c>
      <c r="AE29" s="35" t="s">
        <v>164</v>
      </c>
      <c r="AF29" s="35" t="s">
        <v>103</v>
      </c>
      <c r="AG29" s="35" t="s">
        <v>103</v>
      </c>
      <c r="AH29" s="35" t="s">
        <v>103</v>
      </c>
      <c r="AI29" s="35" t="s">
        <v>103</v>
      </c>
      <c r="AJ29" s="35" t="s">
        <v>137</v>
      </c>
      <c r="AK29" s="35" t="s">
        <v>99</v>
      </c>
      <c r="AL29" s="35" t="s">
        <v>110</v>
      </c>
      <c r="AM29" s="35" t="s">
        <v>103</v>
      </c>
      <c r="AN29" s="35" t="s">
        <v>99</v>
      </c>
      <c r="AO29" s="35" t="s">
        <v>103</v>
      </c>
      <c r="AP29" s="35" t="s">
        <v>111</v>
      </c>
      <c r="AQ29" s="35" t="s">
        <v>153</v>
      </c>
      <c r="AR29" s="35" t="s">
        <v>113</v>
      </c>
      <c r="AS29" s="35" t="s">
        <v>114</v>
      </c>
    </row>
    <row r="30" spans="1:45">
      <c r="A30" s="36" t="s">
        <v>192</v>
      </c>
      <c r="B30" s="36" t="s">
        <v>90</v>
      </c>
      <c r="C30" s="36" t="s">
        <v>116</v>
      </c>
      <c r="D30" s="36" t="s">
        <v>193</v>
      </c>
      <c r="E30" s="36" t="s">
        <v>141</v>
      </c>
      <c r="F30" s="36">
        <v>1886</v>
      </c>
      <c r="G30" s="36" t="s">
        <v>151</v>
      </c>
      <c r="H30" s="36" t="s">
        <v>119</v>
      </c>
      <c r="I30" s="36" t="s">
        <v>120</v>
      </c>
      <c r="J30" s="36" t="s">
        <v>97</v>
      </c>
      <c r="K30" s="36" t="s">
        <v>132</v>
      </c>
      <c r="L30" s="36" t="s">
        <v>99</v>
      </c>
      <c r="M30" s="36" t="s">
        <v>103</v>
      </c>
      <c r="N30" s="36" t="s">
        <v>100</v>
      </c>
      <c r="O30" s="36"/>
      <c r="P30" s="36" t="s">
        <v>99</v>
      </c>
      <c r="Q30" s="36" t="s">
        <v>101</v>
      </c>
      <c r="R30" s="36" t="s">
        <v>134</v>
      </c>
      <c r="S30" s="36" t="s">
        <v>99</v>
      </c>
      <c r="T30" s="36" t="s">
        <v>103</v>
      </c>
      <c r="U30" s="36" t="s">
        <v>103</v>
      </c>
      <c r="V30" s="36"/>
      <c r="W30" s="36">
        <v>3</v>
      </c>
      <c r="X30" s="36" t="s">
        <v>104</v>
      </c>
      <c r="Y30" s="36" t="s">
        <v>136</v>
      </c>
      <c r="Z30" s="36" t="s">
        <v>106</v>
      </c>
      <c r="AA30" s="36" t="s">
        <v>99</v>
      </c>
      <c r="AB30" s="36" t="s">
        <v>125</v>
      </c>
      <c r="AC30" s="36" t="s">
        <v>99</v>
      </c>
      <c r="AD30" s="36" t="s">
        <v>103</v>
      </c>
      <c r="AE30" s="36" t="s">
        <v>126</v>
      </c>
      <c r="AF30" s="36" t="s">
        <v>99</v>
      </c>
      <c r="AG30" s="36" t="s">
        <v>99</v>
      </c>
      <c r="AH30" s="36" t="s">
        <v>99</v>
      </c>
      <c r="AI30" s="36" t="s">
        <v>103</v>
      </c>
      <c r="AJ30" s="36" t="s">
        <v>127</v>
      </c>
      <c r="AK30" s="36" t="s">
        <v>99</v>
      </c>
      <c r="AL30" s="36" t="s">
        <v>148</v>
      </c>
      <c r="AM30" s="36" t="s">
        <v>103</v>
      </c>
      <c r="AN30" s="36" t="s">
        <v>99</v>
      </c>
      <c r="AO30" s="36" t="s">
        <v>103</v>
      </c>
      <c r="AP30" s="36" t="s">
        <v>111</v>
      </c>
      <c r="AQ30" s="36" t="s">
        <v>169</v>
      </c>
      <c r="AR30" s="36" t="s">
        <v>119</v>
      </c>
      <c r="AS30" s="36" t="s">
        <v>154</v>
      </c>
    </row>
    <row r="31" spans="1:45">
      <c r="A31" s="35" t="s">
        <v>194</v>
      </c>
      <c r="B31" s="35" t="s">
        <v>90</v>
      </c>
      <c r="C31" s="35" t="s">
        <v>116</v>
      </c>
      <c r="D31" s="35" t="s">
        <v>181</v>
      </c>
      <c r="E31" s="35" t="s">
        <v>168</v>
      </c>
      <c r="F31" s="35">
        <v>1896</v>
      </c>
      <c r="G31" s="35" t="s">
        <v>118</v>
      </c>
      <c r="H31" s="35" t="s">
        <v>119</v>
      </c>
      <c r="I31" s="35" t="s">
        <v>163</v>
      </c>
      <c r="J31" s="35" t="s">
        <v>97</v>
      </c>
      <c r="K31" s="35" t="s">
        <v>121</v>
      </c>
      <c r="L31" s="35" t="s">
        <v>103</v>
      </c>
      <c r="M31" s="35" t="s">
        <v>103</v>
      </c>
      <c r="N31" s="35" t="s">
        <v>100</v>
      </c>
      <c r="O31" s="35"/>
      <c r="P31" s="35" t="s">
        <v>99</v>
      </c>
      <c r="Q31" s="35" t="s">
        <v>101</v>
      </c>
      <c r="R31" s="35" t="s">
        <v>123</v>
      </c>
      <c r="S31" s="35" t="s">
        <v>103</v>
      </c>
      <c r="T31" s="35" t="s">
        <v>99</v>
      </c>
      <c r="U31" s="35" t="s">
        <v>103</v>
      </c>
      <c r="V31" s="35"/>
      <c r="W31" s="35">
        <v>5</v>
      </c>
      <c r="X31" s="35" t="s">
        <v>104</v>
      </c>
      <c r="Y31" s="35" t="s">
        <v>105</v>
      </c>
      <c r="Z31" s="35" t="s">
        <v>106</v>
      </c>
      <c r="AA31" s="35" t="s">
        <v>99</v>
      </c>
      <c r="AB31" s="35" t="s">
        <v>125</v>
      </c>
      <c r="AC31" s="35" t="s">
        <v>103</v>
      </c>
      <c r="AD31" s="35" t="s">
        <v>103</v>
      </c>
      <c r="AE31" s="35" t="s">
        <v>108</v>
      </c>
      <c r="AF31" s="35" t="s">
        <v>99</v>
      </c>
      <c r="AG31" s="35" t="s">
        <v>99</v>
      </c>
      <c r="AH31" s="35" t="s">
        <v>99</v>
      </c>
      <c r="AI31" s="35" t="s">
        <v>103</v>
      </c>
      <c r="AJ31" s="35" t="s">
        <v>137</v>
      </c>
      <c r="AK31" s="35" t="s">
        <v>99</v>
      </c>
      <c r="AL31" s="35" t="s">
        <v>148</v>
      </c>
      <c r="AM31" s="35" t="s">
        <v>103</v>
      </c>
      <c r="AN31" s="35" t="s">
        <v>103</v>
      </c>
      <c r="AO31" s="35" t="s">
        <v>103</v>
      </c>
      <c r="AP31" s="35" t="s">
        <v>111</v>
      </c>
      <c r="AQ31" s="35" t="s">
        <v>128</v>
      </c>
      <c r="AR31" s="35" t="s">
        <v>95</v>
      </c>
      <c r="AS31" s="35" t="s">
        <v>154</v>
      </c>
    </row>
    <row r="32" spans="1:45">
      <c r="A32" s="36" t="s">
        <v>195</v>
      </c>
      <c r="B32" s="36" t="s">
        <v>196</v>
      </c>
      <c r="C32" s="36" t="s">
        <v>197</v>
      </c>
      <c r="D32" s="36" t="s">
        <v>198</v>
      </c>
      <c r="E32" s="36" t="s">
        <v>141</v>
      </c>
      <c r="F32" s="36">
        <v>1915</v>
      </c>
      <c r="G32" s="36" t="s">
        <v>142</v>
      </c>
      <c r="H32" s="36" t="s">
        <v>95</v>
      </c>
      <c r="I32" s="36" t="s">
        <v>143</v>
      </c>
      <c r="J32" s="36" t="s">
        <v>97</v>
      </c>
      <c r="K32" s="36" t="s">
        <v>121</v>
      </c>
      <c r="L32" s="36" t="s">
        <v>103</v>
      </c>
      <c r="M32" s="36" t="s">
        <v>103</v>
      </c>
      <c r="N32" s="36" t="s">
        <v>100</v>
      </c>
      <c r="O32" s="36"/>
      <c r="P32" s="36" t="s">
        <v>99</v>
      </c>
      <c r="Q32" s="36" t="s">
        <v>122</v>
      </c>
      <c r="R32" s="36" t="s">
        <v>102</v>
      </c>
      <c r="S32" s="36" t="s">
        <v>103</v>
      </c>
      <c r="T32" s="36" t="s">
        <v>99</v>
      </c>
      <c r="U32" s="36" t="s">
        <v>103</v>
      </c>
      <c r="V32" s="36"/>
      <c r="W32" s="36">
        <v>6</v>
      </c>
      <c r="X32" s="36" t="s">
        <v>135</v>
      </c>
      <c r="Y32" s="36" t="s">
        <v>105</v>
      </c>
      <c r="Z32" s="36" t="s">
        <v>107</v>
      </c>
      <c r="AA32" s="36" t="s">
        <v>103</v>
      </c>
      <c r="AB32" s="36" t="s">
        <v>125</v>
      </c>
      <c r="AC32" s="36" t="s">
        <v>103</v>
      </c>
      <c r="AD32" s="36" t="s">
        <v>103</v>
      </c>
      <c r="AE32" s="36" t="s">
        <v>126</v>
      </c>
      <c r="AF32" s="36" t="s">
        <v>103</v>
      </c>
      <c r="AG32" s="36" t="s">
        <v>103</v>
      </c>
      <c r="AH32" s="36" t="s">
        <v>103</v>
      </c>
      <c r="AI32" s="36" t="s">
        <v>103</v>
      </c>
      <c r="AJ32" s="36" t="s">
        <v>137</v>
      </c>
      <c r="AK32" s="36" t="s">
        <v>99</v>
      </c>
      <c r="AL32" s="36" t="s">
        <v>159</v>
      </c>
      <c r="AM32" s="36" t="s">
        <v>99</v>
      </c>
      <c r="AN32" s="36" t="s">
        <v>103</v>
      </c>
      <c r="AO32" s="36" t="s">
        <v>103</v>
      </c>
      <c r="AP32" s="36" t="s">
        <v>111</v>
      </c>
      <c r="AQ32" s="36" t="s">
        <v>169</v>
      </c>
      <c r="AR32" s="36" t="s">
        <v>113</v>
      </c>
      <c r="AS32" s="36" t="s">
        <v>114</v>
      </c>
    </row>
    <row r="33" spans="1:45">
      <c r="A33" s="35" t="s">
        <v>199</v>
      </c>
      <c r="B33" s="35" t="s">
        <v>196</v>
      </c>
      <c r="C33" s="35" t="s">
        <v>200</v>
      </c>
      <c r="D33" s="35" t="s">
        <v>201</v>
      </c>
      <c r="E33" s="35" t="s">
        <v>141</v>
      </c>
      <c r="F33" s="35">
        <v>1884</v>
      </c>
      <c r="G33" s="35" t="s">
        <v>94</v>
      </c>
      <c r="H33" s="35" t="s">
        <v>113</v>
      </c>
      <c r="I33" s="35" t="s">
        <v>143</v>
      </c>
      <c r="J33" s="35" t="s">
        <v>97</v>
      </c>
      <c r="K33" s="35" t="s">
        <v>98</v>
      </c>
      <c r="L33" s="35" t="s">
        <v>103</v>
      </c>
      <c r="M33" s="35" t="s">
        <v>103</v>
      </c>
      <c r="N33" s="35" t="s">
        <v>133</v>
      </c>
      <c r="O33" s="35"/>
      <c r="P33" s="35" t="s">
        <v>99</v>
      </c>
      <c r="Q33" s="35" t="s">
        <v>101</v>
      </c>
      <c r="R33" s="35" t="s">
        <v>102</v>
      </c>
      <c r="S33" s="35" t="s">
        <v>99</v>
      </c>
      <c r="T33" s="35" t="s">
        <v>103</v>
      </c>
      <c r="U33" s="35" t="s">
        <v>103</v>
      </c>
      <c r="V33" s="35"/>
      <c r="W33" s="35">
        <v>7</v>
      </c>
      <c r="X33" s="35" t="s">
        <v>104</v>
      </c>
      <c r="Y33" s="35" t="s">
        <v>136</v>
      </c>
      <c r="Z33" s="35" t="s">
        <v>125</v>
      </c>
      <c r="AA33" s="35" t="s">
        <v>99</v>
      </c>
      <c r="AB33" s="35" t="s">
        <v>106</v>
      </c>
      <c r="AC33" s="35" t="s">
        <v>103</v>
      </c>
      <c r="AD33" s="35" t="s">
        <v>103</v>
      </c>
      <c r="AE33" s="35" t="s">
        <v>108</v>
      </c>
      <c r="AF33" s="35" t="s">
        <v>99</v>
      </c>
      <c r="AG33" s="35" t="s">
        <v>103</v>
      </c>
      <c r="AH33" s="35" t="s">
        <v>103</v>
      </c>
      <c r="AI33" s="35" t="s">
        <v>103</v>
      </c>
      <c r="AJ33" s="35" t="s">
        <v>127</v>
      </c>
      <c r="AK33" s="35" t="s">
        <v>99</v>
      </c>
      <c r="AL33" s="35" t="s">
        <v>159</v>
      </c>
      <c r="AM33" s="35" t="s">
        <v>99</v>
      </c>
      <c r="AN33" s="35" t="s">
        <v>99</v>
      </c>
      <c r="AO33" s="35" t="s">
        <v>99</v>
      </c>
      <c r="AP33" s="35" t="s">
        <v>202</v>
      </c>
      <c r="AQ33" s="35" t="s">
        <v>112</v>
      </c>
      <c r="AR33" s="35" t="s">
        <v>113</v>
      </c>
      <c r="AS33" s="35" t="s">
        <v>114</v>
      </c>
    </row>
    <row r="34" spans="1:45">
      <c r="A34" s="36" t="s">
        <v>203</v>
      </c>
      <c r="B34" s="36" t="s">
        <v>196</v>
      </c>
      <c r="C34" s="36" t="s">
        <v>204</v>
      </c>
      <c r="D34" s="36" t="s">
        <v>205</v>
      </c>
      <c r="E34" s="36" t="s">
        <v>168</v>
      </c>
      <c r="F34" s="36">
        <v>1891</v>
      </c>
      <c r="G34" s="36" t="s">
        <v>151</v>
      </c>
      <c r="H34" s="36" t="s">
        <v>119</v>
      </c>
      <c r="I34" s="36" t="s">
        <v>96</v>
      </c>
      <c r="J34" s="36" t="s">
        <v>97</v>
      </c>
      <c r="K34" s="36" t="s">
        <v>98</v>
      </c>
      <c r="L34" s="36" t="s">
        <v>103</v>
      </c>
      <c r="M34" s="36" t="s">
        <v>103</v>
      </c>
      <c r="N34" s="36" t="s">
        <v>100</v>
      </c>
      <c r="O34" s="36"/>
      <c r="P34" s="36" t="s">
        <v>99</v>
      </c>
      <c r="Q34" s="36" t="s">
        <v>122</v>
      </c>
      <c r="R34" s="36" t="s">
        <v>134</v>
      </c>
      <c r="S34" s="36" t="s">
        <v>103</v>
      </c>
      <c r="T34" s="36" t="s">
        <v>99</v>
      </c>
      <c r="U34" s="36" t="s">
        <v>103</v>
      </c>
      <c r="V34" s="36"/>
      <c r="W34" s="36">
        <v>8</v>
      </c>
      <c r="X34" s="36" t="s">
        <v>104</v>
      </c>
      <c r="Y34" s="36" t="s">
        <v>105</v>
      </c>
      <c r="Z34" s="36" t="s">
        <v>106</v>
      </c>
      <c r="AA34" s="36" t="s">
        <v>99</v>
      </c>
      <c r="AB34" s="36" t="s">
        <v>125</v>
      </c>
      <c r="AC34" s="36" t="s">
        <v>103</v>
      </c>
      <c r="AD34" s="36" t="s">
        <v>103</v>
      </c>
      <c r="AE34" s="36" t="s">
        <v>108</v>
      </c>
      <c r="AF34" s="36" t="s">
        <v>99</v>
      </c>
      <c r="AG34" s="36" t="s">
        <v>99</v>
      </c>
      <c r="AH34" s="36" t="s">
        <v>99</v>
      </c>
      <c r="AI34" s="36" t="s">
        <v>103</v>
      </c>
      <c r="AJ34" s="36" t="s">
        <v>109</v>
      </c>
      <c r="AK34" s="36" t="s">
        <v>99</v>
      </c>
      <c r="AL34" s="36" t="s">
        <v>159</v>
      </c>
      <c r="AM34" s="36" t="s">
        <v>99</v>
      </c>
      <c r="AN34" s="36" t="s">
        <v>103</v>
      </c>
      <c r="AO34" s="36" t="s">
        <v>103</v>
      </c>
      <c r="AP34" s="36" t="s">
        <v>111</v>
      </c>
      <c r="AQ34" s="36" t="s">
        <v>128</v>
      </c>
      <c r="AR34" s="36" t="s">
        <v>119</v>
      </c>
      <c r="AS34" s="36" t="s">
        <v>154</v>
      </c>
    </row>
    <row r="35" spans="1:45">
      <c r="A35" s="35" t="s">
        <v>206</v>
      </c>
      <c r="B35" s="35" t="s">
        <v>196</v>
      </c>
      <c r="C35" s="35" t="s">
        <v>197</v>
      </c>
      <c r="D35" s="35" t="s">
        <v>207</v>
      </c>
      <c r="E35" s="35" t="s">
        <v>93</v>
      </c>
      <c r="F35" s="35">
        <v>1912</v>
      </c>
      <c r="G35" s="35" t="s">
        <v>94</v>
      </c>
      <c r="H35" s="35" t="s">
        <v>113</v>
      </c>
      <c r="I35" s="35" t="s">
        <v>143</v>
      </c>
      <c r="J35" s="35" t="s">
        <v>97</v>
      </c>
      <c r="K35" s="35" t="s">
        <v>158</v>
      </c>
      <c r="L35" s="35" t="s">
        <v>103</v>
      </c>
      <c r="M35" s="35" t="s">
        <v>103</v>
      </c>
      <c r="N35" s="35" t="s">
        <v>133</v>
      </c>
      <c r="O35" s="35"/>
      <c r="P35" s="35" t="s">
        <v>99</v>
      </c>
      <c r="Q35" s="35" t="s">
        <v>101</v>
      </c>
      <c r="R35" s="35" t="s">
        <v>102</v>
      </c>
      <c r="S35" s="35" t="s">
        <v>103</v>
      </c>
      <c r="T35" s="35" t="s">
        <v>99</v>
      </c>
      <c r="U35" s="35" t="s">
        <v>103</v>
      </c>
      <c r="V35" s="35"/>
      <c r="W35" s="35">
        <v>5</v>
      </c>
      <c r="X35" s="35" t="s">
        <v>135</v>
      </c>
      <c r="Y35" s="35" t="s">
        <v>105</v>
      </c>
      <c r="Z35" s="35" t="s">
        <v>125</v>
      </c>
      <c r="AA35" s="35" t="s">
        <v>99</v>
      </c>
      <c r="AB35" s="35" t="s">
        <v>107</v>
      </c>
      <c r="AC35" s="35" t="s">
        <v>103</v>
      </c>
      <c r="AD35" s="35" t="s">
        <v>103</v>
      </c>
      <c r="AE35" s="35" t="s">
        <v>164</v>
      </c>
      <c r="AF35" s="35" t="s">
        <v>99</v>
      </c>
      <c r="AG35" s="35" t="s">
        <v>103</v>
      </c>
      <c r="AH35" s="35" t="s">
        <v>103</v>
      </c>
      <c r="AI35" s="35" t="s">
        <v>103</v>
      </c>
      <c r="AJ35" s="35" t="s">
        <v>109</v>
      </c>
      <c r="AK35" s="35" t="s">
        <v>99</v>
      </c>
      <c r="AL35" s="35" t="s">
        <v>159</v>
      </c>
      <c r="AM35" s="35" t="s">
        <v>103</v>
      </c>
      <c r="AN35" s="35" t="s">
        <v>103</v>
      </c>
      <c r="AO35" s="35" t="s">
        <v>103</v>
      </c>
      <c r="AP35" s="35" t="s">
        <v>111</v>
      </c>
      <c r="AQ35" s="35" t="s">
        <v>128</v>
      </c>
      <c r="AR35" s="35" t="s">
        <v>119</v>
      </c>
      <c r="AS35" s="35" t="s">
        <v>154</v>
      </c>
    </row>
    <row r="36" spans="1:45">
      <c r="A36" s="36" t="s">
        <v>208</v>
      </c>
      <c r="B36" s="36" t="s">
        <v>196</v>
      </c>
      <c r="C36" s="36" t="s">
        <v>209</v>
      </c>
      <c r="D36" s="36" t="s">
        <v>210</v>
      </c>
      <c r="E36" s="36" t="s">
        <v>168</v>
      </c>
      <c r="F36" s="36">
        <v>1908</v>
      </c>
      <c r="G36" s="36" t="s">
        <v>142</v>
      </c>
      <c r="H36" s="36" t="s">
        <v>113</v>
      </c>
      <c r="I36" s="36" t="s">
        <v>120</v>
      </c>
      <c r="J36" s="36" t="s">
        <v>97</v>
      </c>
      <c r="K36" s="36" t="s">
        <v>132</v>
      </c>
      <c r="L36" s="36" t="s">
        <v>103</v>
      </c>
      <c r="M36" s="36" t="s">
        <v>99</v>
      </c>
      <c r="N36" s="36" t="s">
        <v>100</v>
      </c>
      <c r="O36" s="36"/>
      <c r="P36" s="36" t="s">
        <v>99</v>
      </c>
      <c r="Q36" s="36" t="s">
        <v>127</v>
      </c>
      <c r="R36" s="36" t="s">
        <v>123</v>
      </c>
      <c r="S36" s="36" t="s">
        <v>103</v>
      </c>
      <c r="T36" s="36" t="s">
        <v>99</v>
      </c>
      <c r="U36" s="36" t="s">
        <v>99</v>
      </c>
      <c r="V36" s="36" t="s">
        <v>124</v>
      </c>
      <c r="W36" s="36">
        <v>6</v>
      </c>
      <c r="X36" s="36" t="s">
        <v>175</v>
      </c>
      <c r="Y36" s="36" t="s">
        <v>105</v>
      </c>
      <c r="Z36" s="36" t="s">
        <v>125</v>
      </c>
      <c r="AA36" s="36" t="s">
        <v>99</v>
      </c>
      <c r="AB36" s="36" t="s">
        <v>106</v>
      </c>
      <c r="AC36" s="36" t="s">
        <v>103</v>
      </c>
      <c r="AD36" s="36" t="s">
        <v>103</v>
      </c>
      <c r="AE36" s="36" t="s">
        <v>126</v>
      </c>
      <c r="AF36" s="36" t="s">
        <v>103</v>
      </c>
      <c r="AG36" s="36" t="s">
        <v>103</v>
      </c>
      <c r="AH36" s="36" t="s">
        <v>103</v>
      </c>
      <c r="AI36" s="36" t="s">
        <v>103</v>
      </c>
      <c r="AJ36" s="36" t="s">
        <v>109</v>
      </c>
      <c r="AK36" s="36" t="s">
        <v>99</v>
      </c>
      <c r="AL36" s="36" t="s">
        <v>159</v>
      </c>
      <c r="AM36" s="36" t="s">
        <v>103</v>
      </c>
      <c r="AN36" s="36" t="s">
        <v>103</v>
      </c>
      <c r="AO36" s="36" t="s">
        <v>103</v>
      </c>
      <c r="AP36" s="36" t="s">
        <v>111</v>
      </c>
      <c r="AQ36" s="36" t="s">
        <v>112</v>
      </c>
      <c r="AR36" s="36" t="s">
        <v>113</v>
      </c>
      <c r="AS36" s="36" t="s">
        <v>114</v>
      </c>
    </row>
    <row r="37" spans="1:45">
      <c r="A37" s="35" t="s">
        <v>211</v>
      </c>
      <c r="B37" s="35" t="s">
        <v>196</v>
      </c>
      <c r="C37" s="35" t="s">
        <v>212</v>
      </c>
      <c r="D37" s="35" t="s">
        <v>213</v>
      </c>
      <c r="E37" s="35" t="s">
        <v>93</v>
      </c>
      <c r="F37" s="35">
        <v>1883</v>
      </c>
      <c r="G37" s="35" t="s">
        <v>151</v>
      </c>
      <c r="H37" s="35" t="s">
        <v>95</v>
      </c>
      <c r="I37" s="35" t="s">
        <v>152</v>
      </c>
      <c r="J37" s="35" t="s">
        <v>152</v>
      </c>
      <c r="K37" s="35" t="s">
        <v>158</v>
      </c>
      <c r="L37" s="35" t="s">
        <v>103</v>
      </c>
      <c r="M37" s="35" t="s">
        <v>103</v>
      </c>
      <c r="N37" s="35" t="s">
        <v>133</v>
      </c>
      <c r="O37" s="35"/>
      <c r="P37" s="35" t="s">
        <v>99</v>
      </c>
      <c r="Q37" s="35" t="s">
        <v>101</v>
      </c>
      <c r="R37" s="35" t="s">
        <v>123</v>
      </c>
      <c r="S37" s="35" t="s">
        <v>99</v>
      </c>
      <c r="T37" s="35" t="s">
        <v>103</v>
      </c>
      <c r="U37" s="35" t="s">
        <v>103</v>
      </c>
      <c r="V37" s="35"/>
      <c r="W37" s="35">
        <v>0</v>
      </c>
      <c r="X37" s="35" t="s">
        <v>135</v>
      </c>
      <c r="Y37" s="35" t="s">
        <v>105</v>
      </c>
      <c r="Z37" s="35" t="s">
        <v>125</v>
      </c>
      <c r="AA37" s="35" t="s">
        <v>99</v>
      </c>
      <c r="AB37" s="35" t="s">
        <v>106</v>
      </c>
      <c r="AC37" s="35" t="s">
        <v>103</v>
      </c>
      <c r="AD37" s="35" t="s">
        <v>103</v>
      </c>
      <c r="AE37" s="35" t="s">
        <v>164</v>
      </c>
      <c r="AF37" s="35" t="s">
        <v>103</v>
      </c>
      <c r="AG37" s="35" t="s">
        <v>103</v>
      </c>
      <c r="AH37" s="35" t="s">
        <v>103</v>
      </c>
      <c r="AI37" s="35" t="s">
        <v>103</v>
      </c>
      <c r="AJ37" s="35" t="s">
        <v>109</v>
      </c>
      <c r="AK37" s="35" t="s">
        <v>99</v>
      </c>
      <c r="AL37" s="35" t="s">
        <v>159</v>
      </c>
      <c r="AM37" s="35" t="s">
        <v>99</v>
      </c>
      <c r="AN37" s="35" t="s">
        <v>99</v>
      </c>
      <c r="AO37" s="35" t="s">
        <v>103</v>
      </c>
      <c r="AP37" s="35" t="s">
        <v>111</v>
      </c>
      <c r="AQ37" s="35" t="s">
        <v>128</v>
      </c>
      <c r="AR37" s="35" t="s">
        <v>113</v>
      </c>
      <c r="AS37" s="35" t="s">
        <v>114</v>
      </c>
    </row>
    <row r="38" spans="1:45">
      <c r="A38" s="36" t="s">
        <v>214</v>
      </c>
      <c r="B38" s="36" t="s">
        <v>196</v>
      </c>
      <c r="C38" s="36" t="s">
        <v>215</v>
      </c>
      <c r="D38" s="36" t="s">
        <v>216</v>
      </c>
      <c r="E38" s="36" t="s">
        <v>141</v>
      </c>
      <c r="F38" s="36">
        <v>1905</v>
      </c>
      <c r="G38" s="36" t="s">
        <v>94</v>
      </c>
      <c r="H38" s="36" t="s">
        <v>113</v>
      </c>
      <c r="I38" s="36" t="s">
        <v>163</v>
      </c>
      <c r="J38" s="36" t="s">
        <v>97</v>
      </c>
      <c r="K38" s="36" t="s">
        <v>121</v>
      </c>
      <c r="L38" s="36" t="s">
        <v>99</v>
      </c>
      <c r="M38" s="36" t="s">
        <v>103</v>
      </c>
      <c r="N38" s="36" t="s">
        <v>100</v>
      </c>
      <c r="O38" s="36"/>
      <c r="P38" s="36" t="s">
        <v>99</v>
      </c>
      <c r="Q38" s="36" t="s">
        <v>101</v>
      </c>
      <c r="R38" s="36" t="s">
        <v>123</v>
      </c>
      <c r="S38" s="36" t="s">
        <v>99</v>
      </c>
      <c r="T38" s="36" t="s">
        <v>103</v>
      </c>
      <c r="U38" s="36" t="s">
        <v>99</v>
      </c>
      <c r="V38" s="36" t="s">
        <v>124</v>
      </c>
      <c r="W38" s="36">
        <v>7</v>
      </c>
      <c r="X38" s="36" t="s">
        <v>135</v>
      </c>
      <c r="Y38" s="36" t="s">
        <v>105</v>
      </c>
      <c r="Z38" s="36" t="s">
        <v>125</v>
      </c>
      <c r="AA38" s="36" t="s">
        <v>99</v>
      </c>
      <c r="AB38" s="36" t="s">
        <v>125</v>
      </c>
      <c r="AC38" s="36" t="s">
        <v>103</v>
      </c>
      <c r="AD38" s="36" t="s">
        <v>99</v>
      </c>
      <c r="AE38" s="36" t="s">
        <v>126</v>
      </c>
      <c r="AF38" s="36" t="s">
        <v>99</v>
      </c>
      <c r="AG38" s="36" t="s">
        <v>99</v>
      </c>
      <c r="AH38" s="36" t="s">
        <v>99</v>
      </c>
      <c r="AI38" s="36" t="s">
        <v>103</v>
      </c>
      <c r="AJ38" s="36" t="s">
        <v>137</v>
      </c>
      <c r="AK38" s="36" t="s">
        <v>99</v>
      </c>
      <c r="AL38" s="36" t="s">
        <v>159</v>
      </c>
      <c r="AM38" s="36" t="s">
        <v>103</v>
      </c>
      <c r="AN38" s="36" t="s">
        <v>103</v>
      </c>
      <c r="AO38" s="36" t="s">
        <v>103</v>
      </c>
      <c r="AP38" s="36" t="s">
        <v>111</v>
      </c>
      <c r="AQ38" s="36" t="s">
        <v>160</v>
      </c>
      <c r="AR38" s="36" t="s">
        <v>95</v>
      </c>
      <c r="AS38" s="36" t="s">
        <v>154</v>
      </c>
    </row>
    <row r="39" spans="1:45">
      <c r="A39" s="35" t="s">
        <v>217</v>
      </c>
      <c r="B39" s="35" t="s">
        <v>196</v>
      </c>
      <c r="C39" s="35" t="s">
        <v>218</v>
      </c>
      <c r="D39" s="35" t="s">
        <v>219</v>
      </c>
      <c r="E39" s="35" t="s">
        <v>93</v>
      </c>
      <c r="F39" s="35">
        <v>1913</v>
      </c>
      <c r="G39" s="35" t="s">
        <v>151</v>
      </c>
      <c r="H39" s="35" t="s">
        <v>95</v>
      </c>
      <c r="I39" s="35" t="s">
        <v>152</v>
      </c>
      <c r="J39" s="35" t="s">
        <v>152</v>
      </c>
      <c r="K39" s="35" t="s">
        <v>132</v>
      </c>
      <c r="L39" s="35" t="s">
        <v>103</v>
      </c>
      <c r="M39" s="35" t="s">
        <v>103</v>
      </c>
      <c r="N39" s="35" t="s">
        <v>100</v>
      </c>
      <c r="O39" s="35"/>
      <c r="P39" s="35" t="s">
        <v>99</v>
      </c>
      <c r="Q39" s="35" t="s">
        <v>127</v>
      </c>
      <c r="R39" s="35" t="s">
        <v>134</v>
      </c>
      <c r="S39" s="35" t="s">
        <v>103</v>
      </c>
      <c r="T39" s="35" t="s">
        <v>99</v>
      </c>
      <c r="U39" s="35" t="s">
        <v>103</v>
      </c>
      <c r="V39" s="35"/>
      <c r="W39" s="35">
        <v>5</v>
      </c>
      <c r="X39" s="35" t="s">
        <v>135</v>
      </c>
      <c r="Y39" s="35" t="s">
        <v>105</v>
      </c>
      <c r="Z39" s="35" t="s">
        <v>107</v>
      </c>
      <c r="AA39" s="35" t="s">
        <v>99</v>
      </c>
      <c r="AB39" s="35" t="s">
        <v>125</v>
      </c>
      <c r="AC39" s="35" t="s">
        <v>103</v>
      </c>
      <c r="AD39" s="35" t="s">
        <v>103</v>
      </c>
      <c r="AE39" s="35" t="s">
        <v>108</v>
      </c>
      <c r="AF39" s="35" t="s">
        <v>99</v>
      </c>
      <c r="AG39" s="35" t="s">
        <v>99</v>
      </c>
      <c r="AH39" s="35" t="s">
        <v>99</v>
      </c>
      <c r="AI39" s="35" t="s">
        <v>103</v>
      </c>
      <c r="AJ39" s="35" t="s">
        <v>137</v>
      </c>
      <c r="AK39" s="35" t="s">
        <v>99</v>
      </c>
      <c r="AL39" s="35" t="s">
        <v>159</v>
      </c>
      <c r="AM39" s="35" t="s">
        <v>103</v>
      </c>
      <c r="AN39" s="35" t="s">
        <v>103</v>
      </c>
      <c r="AO39" s="35" t="s">
        <v>103</v>
      </c>
      <c r="AP39" s="35" t="s">
        <v>111</v>
      </c>
      <c r="AQ39" s="35" t="s">
        <v>128</v>
      </c>
      <c r="AR39" s="35" t="s">
        <v>119</v>
      </c>
      <c r="AS39" s="35" t="s">
        <v>154</v>
      </c>
    </row>
    <row r="40" spans="1:45">
      <c r="A40" s="36" t="s">
        <v>220</v>
      </c>
      <c r="B40" s="36" t="s">
        <v>196</v>
      </c>
      <c r="C40" s="36" t="s">
        <v>212</v>
      </c>
      <c r="D40" s="36" t="s">
        <v>221</v>
      </c>
      <c r="E40" s="36" t="s">
        <v>141</v>
      </c>
      <c r="F40" s="36">
        <v>1893</v>
      </c>
      <c r="G40" s="36" t="s">
        <v>142</v>
      </c>
      <c r="H40" s="36" t="s">
        <v>113</v>
      </c>
      <c r="I40" s="36" t="s">
        <v>163</v>
      </c>
      <c r="J40" s="36" t="s">
        <v>97</v>
      </c>
      <c r="K40" s="36" t="s">
        <v>158</v>
      </c>
      <c r="L40" s="36" t="s">
        <v>99</v>
      </c>
      <c r="M40" s="36" t="s">
        <v>103</v>
      </c>
      <c r="N40" s="36" t="s">
        <v>100</v>
      </c>
      <c r="O40" s="36"/>
      <c r="P40" s="36" t="s">
        <v>99</v>
      </c>
      <c r="Q40" s="36" t="s">
        <v>122</v>
      </c>
      <c r="R40" s="36" t="s">
        <v>123</v>
      </c>
      <c r="S40" s="36" t="s">
        <v>103</v>
      </c>
      <c r="T40" s="36" t="s">
        <v>99</v>
      </c>
      <c r="U40" s="36" t="s">
        <v>103</v>
      </c>
      <c r="V40" s="36"/>
      <c r="W40" s="36">
        <v>3</v>
      </c>
      <c r="X40" s="36" t="s">
        <v>135</v>
      </c>
      <c r="Y40" s="36" t="s">
        <v>105</v>
      </c>
      <c r="Z40" s="36" t="s">
        <v>125</v>
      </c>
      <c r="AA40" s="36" t="s">
        <v>99</v>
      </c>
      <c r="AB40" s="36" t="s">
        <v>125</v>
      </c>
      <c r="AC40" s="36" t="s">
        <v>103</v>
      </c>
      <c r="AD40" s="36" t="s">
        <v>99</v>
      </c>
      <c r="AE40" s="36" t="s">
        <v>126</v>
      </c>
      <c r="AF40" s="36" t="s">
        <v>99</v>
      </c>
      <c r="AG40" s="36" t="s">
        <v>99</v>
      </c>
      <c r="AH40" s="36" t="s">
        <v>99</v>
      </c>
      <c r="AI40" s="36" t="s">
        <v>103</v>
      </c>
      <c r="AJ40" s="36" t="s">
        <v>127</v>
      </c>
      <c r="AK40" s="36" t="s">
        <v>99</v>
      </c>
      <c r="AL40" s="36" t="s">
        <v>159</v>
      </c>
      <c r="AM40" s="36" t="s">
        <v>99</v>
      </c>
      <c r="AN40" s="36" t="s">
        <v>103</v>
      </c>
      <c r="AO40" s="36" t="s">
        <v>99</v>
      </c>
      <c r="AP40" s="36" t="s">
        <v>202</v>
      </c>
      <c r="AQ40" s="36" t="s">
        <v>153</v>
      </c>
      <c r="AR40" s="36" t="s">
        <v>113</v>
      </c>
      <c r="AS40" s="36" t="s">
        <v>114</v>
      </c>
    </row>
    <row r="41" spans="1:45">
      <c r="A41" s="35" t="s">
        <v>222</v>
      </c>
      <c r="B41" s="35" t="s">
        <v>196</v>
      </c>
      <c r="C41" s="35" t="s">
        <v>212</v>
      </c>
      <c r="D41" s="35" t="s">
        <v>223</v>
      </c>
      <c r="E41" s="35" t="s">
        <v>168</v>
      </c>
      <c r="F41" s="35">
        <v>1879</v>
      </c>
      <c r="G41" s="35" t="s">
        <v>118</v>
      </c>
      <c r="H41" s="35" t="s">
        <v>119</v>
      </c>
      <c r="I41" s="35" t="s">
        <v>152</v>
      </c>
      <c r="J41" s="35" t="s">
        <v>152</v>
      </c>
      <c r="K41" s="35" t="s">
        <v>98</v>
      </c>
      <c r="L41" s="35" t="s">
        <v>103</v>
      </c>
      <c r="M41" s="35" t="s">
        <v>103</v>
      </c>
      <c r="N41" s="35" t="s">
        <v>100</v>
      </c>
      <c r="O41" s="35"/>
      <c r="P41" s="35" t="s">
        <v>99</v>
      </c>
      <c r="Q41" s="35" t="s">
        <v>101</v>
      </c>
      <c r="R41" s="35" t="s">
        <v>134</v>
      </c>
      <c r="S41" s="35" t="s">
        <v>99</v>
      </c>
      <c r="T41" s="35" t="s">
        <v>103</v>
      </c>
      <c r="U41" s="35" t="s">
        <v>103</v>
      </c>
      <c r="V41" s="35"/>
      <c r="W41" s="35">
        <v>1</v>
      </c>
      <c r="X41" s="35" t="s">
        <v>175</v>
      </c>
      <c r="Y41" s="35" t="s">
        <v>105</v>
      </c>
      <c r="Z41" s="35" t="s">
        <v>107</v>
      </c>
      <c r="AA41" s="35" t="s">
        <v>103</v>
      </c>
      <c r="AB41" s="35" t="s">
        <v>107</v>
      </c>
      <c r="AC41" s="35" t="s">
        <v>103</v>
      </c>
      <c r="AD41" s="35" t="s">
        <v>99</v>
      </c>
      <c r="AE41" s="35" t="s">
        <v>126</v>
      </c>
      <c r="AF41" s="35" t="s">
        <v>103</v>
      </c>
      <c r="AG41" s="35" t="s">
        <v>103</v>
      </c>
      <c r="AH41" s="35" t="s">
        <v>103</v>
      </c>
      <c r="AI41" s="35" t="s">
        <v>103</v>
      </c>
      <c r="AJ41" s="35" t="s">
        <v>137</v>
      </c>
      <c r="AK41" s="35" t="s">
        <v>99</v>
      </c>
      <c r="AL41" s="35" t="s">
        <v>148</v>
      </c>
      <c r="AM41" s="35" t="s">
        <v>99</v>
      </c>
      <c r="AN41" s="35" t="s">
        <v>103</v>
      </c>
      <c r="AO41" s="35" t="s">
        <v>103</v>
      </c>
      <c r="AP41" s="35" t="s">
        <v>111</v>
      </c>
      <c r="AQ41" s="35" t="s">
        <v>169</v>
      </c>
      <c r="AR41" s="35" t="s">
        <v>113</v>
      </c>
      <c r="AS41" s="35" t="s">
        <v>114</v>
      </c>
    </row>
    <row r="42" spans="1:45">
      <c r="A42" s="36" t="s">
        <v>224</v>
      </c>
      <c r="B42" s="36" t="s">
        <v>196</v>
      </c>
      <c r="C42" s="36" t="s">
        <v>197</v>
      </c>
      <c r="D42" s="36" t="s">
        <v>207</v>
      </c>
      <c r="E42" s="36" t="s">
        <v>93</v>
      </c>
      <c r="F42" s="36">
        <v>1886</v>
      </c>
      <c r="G42" s="36" t="s">
        <v>151</v>
      </c>
      <c r="H42" s="36" t="s">
        <v>113</v>
      </c>
      <c r="I42" s="36" t="s">
        <v>96</v>
      </c>
      <c r="J42" s="36" t="s">
        <v>97</v>
      </c>
      <c r="K42" s="36" t="s">
        <v>132</v>
      </c>
      <c r="L42" s="36" t="s">
        <v>99</v>
      </c>
      <c r="M42" s="36" t="s">
        <v>103</v>
      </c>
      <c r="N42" s="36" t="s">
        <v>100</v>
      </c>
      <c r="O42" s="36"/>
      <c r="P42" s="36" t="s">
        <v>99</v>
      </c>
      <c r="Q42" s="36" t="s">
        <v>101</v>
      </c>
      <c r="R42" s="36" t="s">
        <v>102</v>
      </c>
      <c r="S42" s="36" t="s">
        <v>99</v>
      </c>
      <c r="T42" s="36" t="s">
        <v>103</v>
      </c>
      <c r="U42" s="36" t="s">
        <v>103</v>
      </c>
      <c r="V42" s="36"/>
      <c r="W42" s="36">
        <v>4</v>
      </c>
      <c r="X42" s="36" t="s">
        <v>135</v>
      </c>
      <c r="Y42" s="36" t="s">
        <v>136</v>
      </c>
      <c r="Z42" s="36" t="s">
        <v>125</v>
      </c>
      <c r="AA42" s="36" t="s">
        <v>99</v>
      </c>
      <c r="AB42" s="36" t="s">
        <v>106</v>
      </c>
      <c r="AC42" s="36" t="s">
        <v>103</v>
      </c>
      <c r="AD42" s="36" t="s">
        <v>103</v>
      </c>
      <c r="AE42" s="36" t="s">
        <v>126</v>
      </c>
      <c r="AF42" s="36" t="s">
        <v>99</v>
      </c>
      <c r="AG42" s="36" t="s">
        <v>99</v>
      </c>
      <c r="AH42" s="36" t="s">
        <v>103</v>
      </c>
      <c r="AI42" s="36" t="s">
        <v>103</v>
      </c>
      <c r="AJ42" s="36" t="s">
        <v>137</v>
      </c>
      <c r="AK42" s="36" t="s">
        <v>99</v>
      </c>
      <c r="AL42" s="36" t="s">
        <v>148</v>
      </c>
      <c r="AM42" s="36" t="s">
        <v>99</v>
      </c>
      <c r="AN42" s="36" t="s">
        <v>103</v>
      </c>
      <c r="AO42" s="36" t="s">
        <v>99</v>
      </c>
      <c r="AP42" s="36" t="s">
        <v>202</v>
      </c>
      <c r="AQ42" s="36" t="s">
        <v>160</v>
      </c>
      <c r="AR42" s="36" t="s">
        <v>119</v>
      </c>
      <c r="AS42" s="36" t="s">
        <v>154</v>
      </c>
    </row>
    <row r="43" spans="1:45">
      <c r="A43" s="35" t="s">
        <v>225</v>
      </c>
      <c r="B43" s="35" t="s">
        <v>196</v>
      </c>
      <c r="C43" s="35" t="s">
        <v>215</v>
      </c>
      <c r="D43" s="35" t="s">
        <v>216</v>
      </c>
      <c r="E43" s="35" t="s">
        <v>141</v>
      </c>
      <c r="F43" s="35">
        <v>1865</v>
      </c>
      <c r="G43" s="35" t="s">
        <v>94</v>
      </c>
      <c r="H43" s="35" t="s">
        <v>119</v>
      </c>
      <c r="I43" s="35" t="s">
        <v>120</v>
      </c>
      <c r="J43" s="35" t="s">
        <v>97</v>
      </c>
      <c r="K43" s="35" t="s">
        <v>158</v>
      </c>
      <c r="L43" s="35" t="s">
        <v>99</v>
      </c>
      <c r="M43" s="35" t="s">
        <v>103</v>
      </c>
      <c r="N43" s="35" t="s">
        <v>100</v>
      </c>
      <c r="O43" s="35"/>
      <c r="P43" s="35" t="s">
        <v>99</v>
      </c>
      <c r="Q43" s="35" t="s">
        <v>122</v>
      </c>
      <c r="R43" s="35" t="s">
        <v>134</v>
      </c>
      <c r="S43" s="35" t="s">
        <v>103</v>
      </c>
      <c r="T43" s="35" t="s">
        <v>99</v>
      </c>
      <c r="U43" s="35" t="s">
        <v>103</v>
      </c>
      <c r="V43" s="35"/>
      <c r="W43" s="35">
        <v>1</v>
      </c>
      <c r="X43" s="35" t="s">
        <v>135</v>
      </c>
      <c r="Y43" s="35" t="s">
        <v>105</v>
      </c>
      <c r="Z43" s="35" t="s">
        <v>107</v>
      </c>
      <c r="AA43" s="35" t="s">
        <v>99</v>
      </c>
      <c r="AB43" s="35" t="s">
        <v>106</v>
      </c>
      <c r="AC43" s="35" t="s">
        <v>103</v>
      </c>
      <c r="AD43" s="35" t="s">
        <v>103</v>
      </c>
      <c r="AE43" s="35" t="s">
        <v>108</v>
      </c>
      <c r="AF43" s="35" t="s">
        <v>99</v>
      </c>
      <c r="AG43" s="35" t="s">
        <v>99</v>
      </c>
      <c r="AH43" s="35" t="s">
        <v>99</v>
      </c>
      <c r="AI43" s="35" t="s">
        <v>103</v>
      </c>
      <c r="AJ43" s="35" t="s">
        <v>109</v>
      </c>
      <c r="AK43" s="35" t="s">
        <v>99</v>
      </c>
      <c r="AL43" s="35" t="s">
        <v>159</v>
      </c>
      <c r="AM43" s="35" t="s">
        <v>103</v>
      </c>
      <c r="AN43" s="35" t="s">
        <v>103</v>
      </c>
      <c r="AO43" s="35" t="s">
        <v>103</v>
      </c>
      <c r="AP43" s="35" t="s">
        <v>111</v>
      </c>
      <c r="AQ43" s="35" t="s">
        <v>169</v>
      </c>
      <c r="AR43" s="35" t="s">
        <v>119</v>
      </c>
      <c r="AS43" s="35" t="s">
        <v>154</v>
      </c>
    </row>
    <row r="44" spans="1:45">
      <c r="A44" s="36" t="s">
        <v>226</v>
      </c>
      <c r="B44" s="36" t="s">
        <v>196</v>
      </c>
      <c r="C44" s="36" t="s">
        <v>209</v>
      </c>
      <c r="D44" s="36" t="s">
        <v>210</v>
      </c>
      <c r="E44" s="36" t="s">
        <v>168</v>
      </c>
      <c r="F44" s="36">
        <v>1887</v>
      </c>
      <c r="G44" s="36" t="s">
        <v>142</v>
      </c>
      <c r="H44" s="36" t="s">
        <v>95</v>
      </c>
      <c r="I44" s="36" t="s">
        <v>143</v>
      </c>
      <c r="J44" s="36" t="s">
        <v>97</v>
      </c>
      <c r="K44" s="36" t="s">
        <v>158</v>
      </c>
      <c r="L44" s="36" t="s">
        <v>103</v>
      </c>
      <c r="M44" s="36" t="s">
        <v>103</v>
      </c>
      <c r="N44" s="36" t="s">
        <v>100</v>
      </c>
      <c r="O44" s="36"/>
      <c r="P44" s="36" t="s">
        <v>99</v>
      </c>
      <c r="Q44" s="36" t="s">
        <v>122</v>
      </c>
      <c r="R44" s="36" t="s">
        <v>134</v>
      </c>
      <c r="S44" s="36" t="s">
        <v>103</v>
      </c>
      <c r="T44" s="36" t="s">
        <v>99</v>
      </c>
      <c r="U44" s="36" t="s">
        <v>103</v>
      </c>
      <c r="V44" s="36"/>
      <c r="W44" s="36">
        <v>5</v>
      </c>
      <c r="X44" s="36" t="s">
        <v>135</v>
      </c>
      <c r="Y44" s="36" t="s">
        <v>105</v>
      </c>
      <c r="Z44" s="36" t="s">
        <v>107</v>
      </c>
      <c r="AA44" s="36" t="s">
        <v>99</v>
      </c>
      <c r="AB44" s="36" t="s">
        <v>125</v>
      </c>
      <c r="AC44" s="36" t="s">
        <v>99</v>
      </c>
      <c r="AD44" s="36" t="s">
        <v>103</v>
      </c>
      <c r="AE44" s="36" t="s">
        <v>126</v>
      </c>
      <c r="AF44" s="36" t="s">
        <v>99</v>
      </c>
      <c r="AG44" s="36" t="s">
        <v>99</v>
      </c>
      <c r="AH44" s="36" t="s">
        <v>99</v>
      </c>
      <c r="AI44" s="36" t="s">
        <v>103</v>
      </c>
      <c r="AJ44" s="36" t="s">
        <v>137</v>
      </c>
      <c r="AK44" s="36" t="s">
        <v>99</v>
      </c>
      <c r="AL44" s="36" t="s">
        <v>110</v>
      </c>
      <c r="AM44" s="36" t="s">
        <v>99</v>
      </c>
      <c r="AN44" s="36" t="s">
        <v>103</v>
      </c>
      <c r="AO44" s="36" t="s">
        <v>103</v>
      </c>
      <c r="AP44" s="36" t="s">
        <v>111</v>
      </c>
      <c r="AQ44" s="36" t="s">
        <v>169</v>
      </c>
      <c r="AR44" s="36" t="s">
        <v>95</v>
      </c>
      <c r="AS44" s="36" t="s">
        <v>154</v>
      </c>
    </row>
    <row r="45" spans="1:45">
      <c r="A45" s="35" t="s">
        <v>227</v>
      </c>
      <c r="B45" s="35" t="s">
        <v>196</v>
      </c>
      <c r="C45" s="35" t="s">
        <v>204</v>
      </c>
      <c r="D45" s="35" t="s">
        <v>205</v>
      </c>
      <c r="E45" s="35" t="s">
        <v>168</v>
      </c>
      <c r="F45" s="35">
        <v>1866</v>
      </c>
      <c r="G45" s="35" t="s">
        <v>94</v>
      </c>
      <c r="H45" s="35" t="s">
        <v>119</v>
      </c>
      <c r="I45" s="35" t="s">
        <v>120</v>
      </c>
      <c r="J45" s="35" t="s">
        <v>97</v>
      </c>
      <c r="K45" s="35" t="s">
        <v>132</v>
      </c>
      <c r="L45" s="35" t="s">
        <v>103</v>
      </c>
      <c r="M45" s="35" t="s">
        <v>103</v>
      </c>
      <c r="N45" s="35" t="s">
        <v>100</v>
      </c>
      <c r="O45" s="35"/>
      <c r="P45" s="35" t="s">
        <v>99</v>
      </c>
      <c r="Q45" s="35" t="s">
        <v>101</v>
      </c>
      <c r="R45" s="35" t="s">
        <v>102</v>
      </c>
      <c r="S45" s="35" t="s">
        <v>99</v>
      </c>
      <c r="T45" s="35" t="s">
        <v>103</v>
      </c>
      <c r="U45" s="35" t="s">
        <v>103</v>
      </c>
      <c r="V45" s="35"/>
      <c r="W45" s="35">
        <v>5</v>
      </c>
      <c r="X45" s="35" t="s">
        <v>104</v>
      </c>
      <c r="Y45" s="35" t="s">
        <v>105</v>
      </c>
      <c r="Z45" s="35" t="s">
        <v>125</v>
      </c>
      <c r="AA45" s="35" t="s">
        <v>99</v>
      </c>
      <c r="AB45" s="35" t="s">
        <v>125</v>
      </c>
      <c r="AC45" s="35" t="s">
        <v>103</v>
      </c>
      <c r="AD45" s="35" t="s">
        <v>103</v>
      </c>
      <c r="AE45" s="35" t="s">
        <v>164</v>
      </c>
      <c r="AF45" s="35" t="s">
        <v>99</v>
      </c>
      <c r="AG45" s="35" t="s">
        <v>99</v>
      </c>
      <c r="AH45" s="35" t="s">
        <v>99</v>
      </c>
      <c r="AI45" s="35" t="s">
        <v>99</v>
      </c>
      <c r="AJ45" s="35" t="s">
        <v>137</v>
      </c>
      <c r="AK45" s="35" t="s">
        <v>99</v>
      </c>
      <c r="AL45" s="35" t="s">
        <v>159</v>
      </c>
      <c r="AM45" s="35" t="s">
        <v>99</v>
      </c>
      <c r="AN45" s="35" t="s">
        <v>103</v>
      </c>
      <c r="AO45" s="35" t="s">
        <v>103</v>
      </c>
      <c r="AP45" s="35" t="s">
        <v>111</v>
      </c>
      <c r="AQ45" s="35" t="s">
        <v>160</v>
      </c>
      <c r="AR45" s="35" t="s">
        <v>119</v>
      </c>
      <c r="AS45" s="35" t="s">
        <v>154</v>
      </c>
    </row>
    <row r="46" spans="1:45">
      <c r="A46" s="36" t="s">
        <v>228</v>
      </c>
      <c r="B46" s="36" t="s">
        <v>196</v>
      </c>
      <c r="C46" s="36" t="s">
        <v>215</v>
      </c>
      <c r="D46" s="36" t="s">
        <v>229</v>
      </c>
      <c r="E46" s="36" t="s">
        <v>93</v>
      </c>
      <c r="F46" s="36">
        <v>1911</v>
      </c>
      <c r="G46" s="36" t="s">
        <v>151</v>
      </c>
      <c r="H46" s="36" t="s">
        <v>113</v>
      </c>
      <c r="I46" s="36" t="s">
        <v>120</v>
      </c>
      <c r="J46" s="36" t="s">
        <v>97</v>
      </c>
      <c r="K46" s="36" t="s">
        <v>158</v>
      </c>
      <c r="L46" s="36" t="s">
        <v>99</v>
      </c>
      <c r="M46" s="36" t="s">
        <v>103</v>
      </c>
      <c r="N46" s="36" t="s">
        <v>100</v>
      </c>
      <c r="O46" s="36"/>
      <c r="P46" s="36" t="s">
        <v>99</v>
      </c>
      <c r="Q46" s="36" t="s">
        <v>101</v>
      </c>
      <c r="R46" s="36" t="s">
        <v>102</v>
      </c>
      <c r="S46" s="36" t="s">
        <v>99</v>
      </c>
      <c r="T46" s="36" t="s">
        <v>103</v>
      </c>
      <c r="U46" s="36" t="s">
        <v>103</v>
      </c>
      <c r="V46" s="36"/>
      <c r="W46" s="36">
        <v>1</v>
      </c>
      <c r="X46" s="36" t="s">
        <v>135</v>
      </c>
      <c r="Y46" s="36" t="s">
        <v>136</v>
      </c>
      <c r="Z46" s="36" t="s">
        <v>107</v>
      </c>
      <c r="AA46" s="36" t="s">
        <v>99</v>
      </c>
      <c r="AB46" s="36" t="s">
        <v>107</v>
      </c>
      <c r="AC46" s="36" t="s">
        <v>103</v>
      </c>
      <c r="AD46" s="36" t="s">
        <v>103</v>
      </c>
      <c r="AE46" s="36" t="s">
        <v>164</v>
      </c>
      <c r="AF46" s="36" t="s">
        <v>103</v>
      </c>
      <c r="AG46" s="36" t="s">
        <v>103</v>
      </c>
      <c r="AH46" s="36" t="s">
        <v>103</v>
      </c>
      <c r="AI46" s="36" t="s">
        <v>103</v>
      </c>
      <c r="AJ46" s="36" t="s">
        <v>137</v>
      </c>
      <c r="AK46" s="36" t="s">
        <v>99</v>
      </c>
      <c r="AL46" s="36" t="s">
        <v>148</v>
      </c>
      <c r="AM46" s="36" t="s">
        <v>99</v>
      </c>
      <c r="AN46" s="36" t="s">
        <v>99</v>
      </c>
      <c r="AO46" s="36" t="s">
        <v>103</v>
      </c>
      <c r="AP46" s="36" t="s">
        <v>111</v>
      </c>
      <c r="AQ46" s="36" t="s">
        <v>112</v>
      </c>
      <c r="AR46" s="36" t="s">
        <v>119</v>
      </c>
      <c r="AS46" s="36" t="s">
        <v>154</v>
      </c>
    </row>
    <row r="47" spans="1:45">
      <c r="A47" s="35" t="s">
        <v>230</v>
      </c>
      <c r="B47" s="35" t="s">
        <v>196</v>
      </c>
      <c r="C47" s="35" t="s">
        <v>204</v>
      </c>
      <c r="D47" s="35" t="s">
        <v>231</v>
      </c>
      <c r="E47" s="35" t="s">
        <v>93</v>
      </c>
      <c r="F47" s="35">
        <v>1899</v>
      </c>
      <c r="G47" s="35" t="s">
        <v>151</v>
      </c>
      <c r="H47" s="35" t="s">
        <v>119</v>
      </c>
      <c r="I47" s="35" t="s">
        <v>152</v>
      </c>
      <c r="J47" s="35" t="s">
        <v>152</v>
      </c>
      <c r="K47" s="35" t="s">
        <v>132</v>
      </c>
      <c r="L47" s="35" t="s">
        <v>99</v>
      </c>
      <c r="M47" s="35" t="s">
        <v>99</v>
      </c>
      <c r="N47" s="35" t="s">
        <v>100</v>
      </c>
      <c r="O47" s="35"/>
      <c r="P47" s="35" t="s">
        <v>99</v>
      </c>
      <c r="Q47" s="35" t="s">
        <v>127</v>
      </c>
      <c r="R47" s="35" t="s">
        <v>102</v>
      </c>
      <c r="S47" s="35" t="s">
        <v>103</v>
      </c>
      <c r="T47" s="35" t="s">
        <v>99</v>
      </c>
      <c r="U47" s="35" t="s">
        <v>103</v>
      </c>
      <c r="V47" s="35"/>
      <c r="W47" s="35">
        <v>4</v>
      </c>
      <c r="X47" s="35" t="s">
        <v>104</v>
      </c>
      <c r="Y47" s="35" t="s">
        <v>105</v>
      </c>
      <c r="Z47" s="35" t="s">
        <v>106</v>
      </c>
      <c r="AA47" s="35" t="s">
        <v>99</v>
      </c>
      <c r="AB47" s="35" t="s">
        <v>106</v>
      </c>
      <c r="AC47" s="35" t="s">
        <v>103</v>
      </c>
      <c r="AD47" s="35" t="s">
        <v>103</v>
      </c>
      <c r="AE47" s="35" t="s">
        <v>164</v>
      </c>
      <c r="AF47" s="35" t="s">
        <v>103</v>
      </c>
      <c r="AG47" s="35" t="s">
        <v>103</v>
      </c>
      <c r="AH47" s="35" t="s">
        <v>103</v>
      </c>
      <c r="AI47" s="35" t="s">
        <v>103</v>
      </c>
      <c r="AJ47" s="35" t="s">
        <v>137</v>
      </c>
      <c r="AK47" s="35" t="s">
        <v>99</v>
      </c>
      <c r="AL47" s="35" t="s">
        <v>110</v>
      </c>
      <c r="AM47" s="35" t="s">
        <v>103</v>
      </c>
      <c r="AN47" s="35" t="s">
        <v>99</v>
      </c>
      <c r="AO47" s="35" t="s">
        <v>103</v>
      </c>
      <c r="AP47" s="35" t="s">
        <v>111</v>
      </c>
      <c r="AQ47" s="35" t="s">
        <v>153</v>
      </c>
      <c r="AR47" s="35" t="s">
        <v>119</v>
      </c>
      <c r="AS47" s="35" t="s">
        <v>154</v>
      </c>
    </row>
    <row r="48" spans="1:45">
      <c r="A48" s="36" t="s">
        <v>232</v>
      </c>
      <c r="B48" s="36" t="s">
        <v>196</v>
      </c>
      <c r="C48" s="36" t="s">
        <v>215</v>
      </c>
      <c r="D48" s="36" t="s">
        <v>216</v>
      </c>
      <c r="E48" s="36" t="s">
        <v>141</v>
      </c>
      <c r="F48" s="36">
        <v>1914</v>
      </c>
      <c r="G48" s="36" t="s">
        <v>142</v>
      </c>
      <c r="H48" s="36" t="s">
        <v>113</v>
      </c>
      <c r="I48" s="36" t="s">
        <v>143</v>
      </c>
      <c r="J48" s="36" t="s">
        <v>97</v>
      </c>
      <c r="K48" s="36" t="s">
        <v>158</v>
      </c>
      <c r="L48" s="36" t="s">
        <v>103</v>
      </c>
      <c r="M48" s="36" t="s">
        <v>99</v>
      </c>
      <c r="N48" s="36" t="s">
        <v>100</v>
      </c>
      <c r="O48" s="36"/>
      <c r="P48" s="36" t="s">
        <v>99</v>
      </c>
      <c r="Q48" s="36" t="s">
        <v>127</v>
      </c>
      <c r="R48" s="36" t="s">
        <v>102</v>
      </c>
      <c r="S48" s="36" t="s">
        <v>103</v>
      </c>
      <c r="T48" s="36" t="s">
        <v>99</v>
      </c>
      <c r="U48" s="36" t="s">
        <v>103</v>
      </c>
      <c r="V48" s="36"/>
      <c r="W48" s="36">
        <v>7</v>
      </c>
      <c r="X48" s="36" t="s">
        <v>135</v>
      </c>
      <c r="Y48" s="36" t="s">
        <v>105</v>
      </c>
      <c r="Z48" s="36" t="s">
        <v>125</v>
      </c>
      <c r="AA48" s="36" t="s">
        <v>99</v>
      </c>
      <c r="AB48" s="36" t="s">
        <v>125</v>
      </c>
      <c r="AC48" s="36" t="s">
        <v>103</v>
      </c>
      <c r="AD48" s="36" t="s">
        <v>103</v>
      </c>
      <c r="AE48" s="36" t="s">
        <v>164</v>
      </c>
      <c r="AF48" s="36" t="s">
        <v>103</v>
      </c>
      <c r="AG48" s="36" t="s">
        <v>103</v>
      </c>
      <c r="AH48" s="36" t="s">
        <v>103</v>
      </c>
      <c r="AI48" s="36" t="s">
        <v>103</v>
      </c>
      <c r="AJ48" s="36" t="s">
        <v>127</v>
      </c>
      <c r="AK48" s="36" t="s">
        <v>103</v>
      </c>
      <c r="AL48" s="36"/>
      <c r="AM48" s="36" t="s">
        <v>103</v>
      </c>
      <c r="AN48" s="36" t="s">
        <v>103</v>
      </c>
      <c r="AO48" s="36" t="s">
        <v>103</v>
      </c>
      <c r="AP48" s="36" t="s">
        <v>111</v>
      </c>
      <c r="AQ48" s="36" t="s">
        <v>160</v>
      </c>
      <c r="AR48" s="36" t="s">
        <v>119</v>
      </c>
      <c r="AS48" s="36" t="s">
        <v>154</v>
      </c>
    </row>
    <row r="49" spans="1:45">
      <c r="A49" s="35" t="s">
        <v>233</v>
      </c>
      <c r="B49" s="35" t="s">
        <v>196</v>
      </c>
      <c r="C49" s="35" t="s">
        <v>215</v>
      </c>
      <c r="D49" s="35" t="s">
        <v>229</v>
      </c>
      <c r="E49" s="35" t="s">
        <v>93</v>
      </c>
      <c r="F49" s="35">
        <v>1925</v>
      </c>
      <c r="G49" s="35" t="s">
        <v>94</v>
      </c>
      <c r="H49" s="35" t="s">
        <v>119</v>
      </c>
      <c r="I49" s="35" t="s">
        <v>96</v>
      </c>
      <c r="J49" s="35" t="s">
        <v>97</v>
      </c>
      <c r="K49" s="35" t="s">
        <v>132</v>
      </c>
      <c r="L49" s="35" t="s">
        <v>99</v>
      </c>
      <c r="M49" s="35" t="s">
        <v>99</v>
      </c>
      <c r="N49" s="35" t="s">
        <v>100</v>
      </c>
      <c r="O49" s="35"/>
      <c r="P49" s="35" t="s">
        <v>99</v>
      </c>
      <c r="Q49" s="35" t="s">
        <v>101</v>
      </c>
      <c r="R49" s="35" t="s">
        <v>123</v>
      </c>
      <c r="S49" s="35" t="s">
        <v>103</v>
      </c>
      <c r="T49" s="35" t="s">
        <v>99</v>
      </c>
      <c r="U49" s="35" t="s">
        <v>99</v>
      </c>
      <c r="V49" s="35" t="s">
        <v>124</v>
      </c>
      <c r="W49" s="35">
        <v>2</v>
      </c>
      <c r="X49" s="35" t="s">
        <v>175</v>
      </c>
      <c r="Y49" s="35" t="s">
        <v>105</v>
      </c>
      <c r="Z49" s="35" t="s">
        <v>125</v>
      </c>
      <c r="AA49" s="35" t="s">
        <v>99</v>
      </c>
      <c r="AB49" s="35" t="s">
        <v>107</v>
      </c>
      <c r="AC49" s="35" t="s">
        <v>103</v>
      </c>
      <c r="AD49" s="35" t="s">
        <v>103</v>
      </c>
      <c r="AE49" s="35" t="s">
        <v>108</v>
      </c>
      <c r="AF49" s="35" t="s">
        <v>99</v>
      </c>
      <c r="AG49" s="35" t="s">
        <v>99</v>
      </c>
      <c r="AH49" s="35" t="s">
        <v>99</v>
      </c>
      <c r="AI49" s="35" t="s">
        <v>103</v>
      </c>
      <c r="AJ49" s="35" t="s">
        <v>127</v>
      </c>
      <c r="AK49" s="35" t="s">
        <v>103</v>
      </c>
      <c r="AL49" s="35"/>
      <c r="AM49" s="35" t="s">
        <v>103</v>
      </c>
      <c r="AN49" s="35" t="s">
        <v>99</v>
      </c>
      <c r="AO49" s="35" t="s">
        <v>103</v>
      </c>
      <c r="AP49" s="35" t="s">
        <v>111</v>
      </c>
      <c r="AQ49" s="35" t="s">
        <v>112</v>
      </c>
      <c r="AR49" s="35" t="s">
        <v>113</v>
      </c>
      <c r="AS49" s="35" t="s">
        <v>114</v>
      </c>
    </row>
    <row r="50" spans="1:45">
      <c r="A50" s="36" t="s">
        <v>234</v>
      </c>
      <c r="B50" s="36" t="s">
        <v>196</v>
      </c>
      <c r="C50" s="36" t="s">
        <v>218</v>
      </c>
      <c r="D50" s="36" t="s">
        <v>235</v>
      </c>
      <c r="E50" s="36" t="s">
        <v>168</v>
      </c>
      <c r="F50" s="36">
        <v>1867</v>
      </c>
      <c r="G50" s="36" t="s">
        <v>118</v>
      </c>
      <c r="H50" s="36" t="s">
        <v>119</v>
      </c>
      <c r="I50" s="36" t="s">
        <v>143</v>
      </c>
      <c r="J50" s="36" t="s">
        <v>97</v>
      </c>
      <c r="K50" s="36" t="s">
        <v>98</v>
      </c>
      <c r="L50" s="36" t="s">
        <v>103</v>
      </c>
      <c r="M50" s="36" t="s">
        <v>99</v>
      </c>
      <c r="N50" s="36" t="s">
        <v>100</v>
      </c>
      <c r="O50" s="36"/>
      <c r="P50" s="36" t="s">
        <v>99</v>
      </c>
      <c r="Q50" s="36" t="s">
        <v>122</v>
      </c>
      <c r="R50" s="36" t="s">
        <v>102</v>
      </c>
      <c r="S50" s="36" t="s">
        <v>103</v>
      </c>
      <c r="T50" s="36" t="s">
        <v>99</v>
      </c>
      <c r="U50" s="36" t="s">
        <v>99</v>
      </c>
      <c r="V50" s="36" t="s">
        <v>124</v>
      </c>
      <c r="W50" s="36">
        <v>8</v>
      </c>
      <c r="X50" s="36" t="s">
        <v>104</v>
      </c>
      <c r="Y50" s="36" t="s">
        <v>105</v>
      </c>
      <c r="Z50" s="36" t="s">
        <v>125</v>
      </c>
      <c r="AA50" s="36" t="s">
        <v>103</v>
      </c>
      <c r="AB50" s="36" t="s">
        <v>125</v>
      </c>
      <c r="AC50" s="36" t="s">
        <v>99</v>
      </c>
      <c r="AD50" s="36" t="s">
        <v>103</v>
      </c>
      <c r="AE50" s="36" t="s">
        <v>164</v>
      </c>
      <c r="AF50" s="36" t="s">
        <v>99</v>
      </c>
      <c r="AG50" s="36" t="s">
        <v>99</v>
      </c>
      <c r="AH50" s="36" t="s">
        <v>99</v>
      </c>
      <c r="AI50" s="36" t="s">
        <v>103</v>
      </c>
      <c r="AJ50" s="36" t="s">
        <v>137</v>
      </c>
      <c r="AK50" s="36" t="s">
        <v>99</v>
      </c>
      <c r="AL50" s="36" t="s">
        <v>148</v>
      </c>
      <c r="AM50" s="36" t="s">
        <v>99</v>
      </c>
      <c r="AN50" s="36" t="s">
        <v>103</v>
      </c>
      <c r="AO50" s="36" t="s">
        <v>99</v>
      </c>
      <c r="AP50" s="36" t="s">
        <v>202</v>
      </c>
      <c r="AQ50" s="36" t="s">
        <v>160</v>
      </c>
      <c r="AR50" s="36" t="s">
        <v>119</v>
      </c>
      <c r="AS50" s="36" t="s">
        <v>154</v>
      </c>
    </row>
    <row r="51" spans="1:45">
      <c r="A51" s="35" t="s">
        <v>236</v>
      </c>
      <c r="B51" s="35" t="s">
        <v>196</v>
      </c>
      <c r="C51" s="35" t="s">
        <v>200</v>
      </c>
      <c r="D51" s="35" t="s">
        <v>201</v>
      </c>
      <c r="E51" s="35" t="s">
        <v>141</v>
      </c>
      <c r="F51" s="35">
        <v>1891</v>
      </c>
      <c r="G51" s="35" t="s">
        <v>142</v>
      </c>
      <c r="H51" s="35" t="s">
        <v>119</v>
      </c>
      <c r="I51" s="35" t="s">
        <v>152</v>
      </c>
      <c r="J51" s="35" t="s">
        <v>152</v>
      </c>
      <c r="K51" s="35" t="s">
        <v>121</v>
      </c>
      <c r="L51" s="35" t="s">
        <v>103</v>
      </c>
      <c r="M51" s="35" t="s">
        <v>103</v>
      </c>
      <c r="N51" s="35" t="s">
        <v>100</v>
      </c>
      <c r="O51" s="35"/>
      <c r="P51" s="35" t="s">
        <v>99</v>
      </c>
      <c r="Q51" s="35" t="s">
        <v>127</v>
      </c>
      <c r="R51" s="35" t="s">
        <v>134</v>
      </c>
      <c r="S51" s="35" t="s">
        <v>103</v>
      </c>
      <c r="T51" s="35" t="s">
        <v>99</v>
      </c>
      <c r="U51" s="35" t="s">
        <v>103</v>
      </c>
      <c r="V51" s="35"/>
      <c r="W51" s="35">
        <v>5</v>
      </c>
      <c r="X51" s="35" t="s">
        <v>135</v>
      </c>
      <c r="Y51" s="35" t="s">
        <v>105</v>
      </c>
      <c r="Z51" s="35" t="s">
        <v>106</v>
      </c>
      <c r="AA51" s="35" t="s">
        <v>99</v>
      </c>
      <c r="AB51" s="35" t="s">
        <v>107</v>
      </c>
      <c r="AC51" s="35" t="s">
        <v>103</v>
      </c>
      <c r="AD51" s="35" t="s">
        <v>103</v>
      </c>
      <c r="AE51" s="35" t="s">
        <v>164</v>
      </c>
      <c r="AF51" s="35" t="s">
        <v>103</v>
      </c>
      <c r="AG51" s="35" t="s">
        <v>103</v>
      </c>
      <c r="AH51" s="35" t="s">
        <v>103</v>
      </c>
      <c r="AI51" s="35" t="s">
        <v>103</v>
      </c>
      <c r="AJ51" s="35" t="s">
        <v>109</v>
      </c>
      <c r="AK51" s="35" t="s">
        <v>99</v>
      </c>
      <c r="AL51" s="35" t="s">
        <v>110</v>
      </c>
      <c r="AM51" s="35" t="s">
        <v>99</v>
      </c>
      <c r="AN51" s="35" t="s">
        <v>103</v>
      </c>
      <c r="AO51" s="35" t="s">
        <v>103</v>
      </c>
      <c r="AP51" s="35" t="s">
        <v>111</v>
      </c>
      <c r="AQ51" s="35" t="s">
        <v>160</v>
      </c>
      <c r="AR51" s="35" t="s">
        <v>119</v>
      </c>
      <c r="AS51" s="35" t="s">
        <v>154</v>
      </c>
    </row>
    <row r="52" spans="1:45">
      <c r="A52" s="36" t="s">
        <v>237</v>
      </c>
      <c r="B52" s="36" t="s">
        <v>196</v>
      </c>
      <c r="C52" s="36" t="s">
        <v>218</v>
      </c>
      <c r="D52" s="36" t="s">
        <v>238</v>
      </c>
      <c r="E52" s="36" t="s">
        <v>141</v>
      </c>
      <c r="F52" s="36">
        <v>1899</v>
      </c>
      <c r="G52" s="36" t="s">
        <v>142</v>
      </c>
      <c r="H52" s="36" t="s">
        <v>95</v>
      </c>
      <c r="I52" s="36" t="s">
        <v>152</v>
      </c>
      <c r="J52" s="36" t="s">
        <v>152</v>
      </c>
      <c r="K52" s="36" t="s">
        <v>121</v>
      </c>
      <c r="L52" s="36" t="s">
        <v>103</v>
      </c>
      <c r="M52" s="36" t="s">
        <v>99</v>
      </c>
      <c r="N52" s="36" t="s">
        <v>100</v>
      </c>
      <c r="O52" s="36"/>
      <c r="P52" s="36" t="s">
        <v>99</v>
      </c>
      <c r="Q52" s="36" t="s">
        <v>122</v>
      </c>
      <c r="R52" s="36" t="s">
        <v>134</v>
      </c>
      <c r="S52" s="36" t="s">
        <v>103</v>
      </c>
      <c r="T52" s="36" t="s">
        <v>99</v>
      </c>
      <c r="U52" s="36" t="s">
        <v>103</v>
      </c>
      <c r="V52" s="36"/>
      <c r="W52" s="36">
        <v>8</v>
      </c>
      <c r="X52" s="36" t="s">
        <v>104</v>
      </c>
      <c r="Y52" s="36" t="s">
        <v>105</v>
      </c>
      <c r="Z52" s="36" t="s">
        <v>125</v>
      </c>
      <c r="AA52" s="36" t="s">
        <v>99</v>
      </c>
      <c r="AB52" s="36" t="s">
        <v>106</v>
      </c>
      <c r="AC52" s="36" t="s">
        <v>103</v>
      </c>
      <c r="AD52" s="36" t="s">
        <v>103</v>
      </c>
      <c r="AE52" s="36" t="s">
        <v>126</v>
      </c>
      <c r="AF52" s="36" t="s">
        <v>103</v>
      </c>
      <c r="AG52" s="36" t="s">
        <v>103</v>
      </c>
      <c r="AH52" s="36" t="s">
        <v>103</v>
      </c>
      <c r="AI52" s="36" t="s">
        <v>103</v>
      </c>
      <c r="AJ52" s="36" t="s">
        <v>137</v>
      </c>
      <c r="AK52" s="36" t="s">
        <v>99</v>
      </c>
      <c r="AL52" s="36" t="s">
        <v>148</v>
      </c>
      <c r="AM52" s="36" t="s">
        <v>103</v>
      </c>
      <c r="AN52" s="36" t="s">
        <v>99</v>
      </c>
      <c r="AO52" s="36" t="s">
        <v>103</v>
      </c>
      <c r="AP52" s="36" t="s">
        <v>111</v>
      </c>
      <c r="AQ52" s="36" t="s">
        <v>169</v>
      </c>
      <c r="AR52" s="36" t="s">
        <v>119</v>
      </c>
      <c r="AS52" s="36" t="s">
        <v>154</v>
      </c>
    </row>
    <row r="53" spans="1:45">
      <c r="A53" s="35" t="s">
        <v>239</v>
      </c>
      <c r="B53" s="35" t="s">
        <v>196</v>
      </c>
      <c r="C53" s="35" t="s">
        <v>215</v>
      </c>
      <c r="D53" s="35" t="s">
        <v>216</v>
      </c>
      <c r="E53" s="35" t="s">
        <v>141</v>
      </c>
      <c r="F53" s="35">
        <v>1864</v>
      </c>
      <c r="G53" s="35" t="s">
        <v>94</v>
      </c>
      <c r="H53" s="35" t="s">
        <v>113</v>
      </c>
      <c r="I53" s="35" t="s">
        <v>96</v>
      </c>
      <c r="J53" s="35" t="s">
        <v>97</v>
      </c>
      <c r="K53" s="35" t="s">
        <v>132</v>
      </c>
      <c r="L53" s="35" t="s">
        <v>103</v>
      </c>
      <c r="M53" s="35" t="s">
        <v>103</v>
      </c>
      <c r="N53" s="35" t="s">
        <v>133</v>
      </c>
      <c r="O53" s="35"/>
      <c r="P53" s="35" t="s">
        <v>99</v>
      </c>
      <c r="Q53" s="35" t="s">
        <v>101</v>
      </c>
      <c r="R53" s="35" t="s">
        <v>123</v>
      </c>
      <c r="S53" s="35" t="s">
        <v>99</v>
      </c>
      <c r="T53" s="35" t="s">
        <v>103</v>
      </c>
      <c r="U53" s="35" t="s">
        <v>103</v>
      </c>
      <c r="V53" s="35"/>
      <c r="W53" s="35">
        <v>7</v>
      </c>
      <c r="X53" s="35" t="s">
        <v>104</v>
      </c>
      <c r="Y53" s="35" t="s">
        <v>105</v>
      </c>
      <c r="Z53" s="35" t="s">
        <v>125</v>
      </c>
      <c r="AA53" s="35" t="s">
        <v>99</v>
      </c>
      <c r="AB53" s="35" t="s">
        <v>107</v>
      </c>
      <c r="AC53" s="35" t="s">
        <v>103</v>
      </c>
      <c r="AD53" s="35" t="s">
        <v>103</v>
      </c>
      <c r="AE53" s="35" t="s">
        <v>164</v>
      </c>
      <c r="AF53" s="35" t="s">
        <v>99</v>
      </c>
      <c r="AG53" s="35" t="s">
        <v>99</v>
      </c>
      <c r="AH53" s="35" t="s">
        <v>99</v>
      </c>
      <c r="AI53" s="35" t="s">
        <v>103</v>
      </c>
      <c r="AJ53" s="35" t="s">
        <v>109</v>
      </c>
      <c r="AK53" s="35" t="s">
        <v>99</v>
      </c>
      <c r="AL53" s="35" t="s">
        <v>159</v>
      </c>
      <c r="AM53" s="35" t="s">
        <v>99</v>
      </c>
      <c r="AN53" s="35" t="s">
        <v>103</v>
      </c>
      <c r="AO53" s="35" t="s">
        <v>103</v>
      </c>
      <c r="AP53" s="35" t="s">
        <v>111</v>
      </c>
      <c r="AQ53" s="35" t="s">
        <v>169</v>
      </c>
      <c r="AR53" s="35" t="s">
        <v>119</v>
      </c>
      <c r="AS53" s="35" t="s">
        <v>154</v>
      </c>
    </row>
    <row r="54" spans="1:45">
      <c r="A54" s="36" t="s">
        <v>240</v>
      </c>
      <c r="B54" s="36" t="s">
        <v>196</v>
      </c>
      <c r="C54" s="36" t="s">
        <v>215</v>
      </c>
      <c r="D54" s="36" t="s">
        <v>229</v>
      </c>
      <c r="E54" s="36" t="s">
        <v>93</v>
      </c>
      <c r="F54" s="36">
        <v>1913</v>
      </c>
      <c r="G54" s="36" t="s">
        <v>151</v>
      </c>
      <c r="H54" s="36" t="s">
        <v>113</v>
      </c>
      <c r="I54" s="36" t="s">
        <v>96</v>
      </c>
      <c r="J54" s="36" t="s">
        <v>97</v>
      </c>
      <c r="K54" s="36" t="s">
        <v>158</v>
      </c>
      <c r="L54" s="36" t="s">
        <v>103</v>
      </c>
      <c r="M54" s="36" t="s">
        <v>99</v>
      </c>
      <c r="N54" s="36" t="s">
        <v>100</v>
      </c>
      <c r="O54" s="36"/>
      <c r="P54" s="36" t="s">
        <v>99</v>
      </c>
      <c r="Q54" s="36" t="s">
        <v>101</v>
      </c>
      <c r="R54" s="36" t="s">
        <v>102</v>
      </c>
      <c r="S54" s="36" t="s">
        <v>99</v>
      </c>
      <c r="T54" s="36" t="s">
        <v>103</v>
      </c>
      <c r="U54" s="36" t="s">
        <v>103</v>
      </c>
      <c r="V54" s="36"/>
      <c r="W54" s="36">
        <v>1</v>
      </c>
      <c r="X54" s="36" t="s">
        <v>104</v>
      </c>
      <c r="Y54" s="36" t="s">
        <v>136</v>
      </c>
      <c r="Z54" s="36" t="s">
        <v>107</v>
      </c>
      <c r="AA54" s="36" t="s">
        <v>103</v>
      </c>
      <c r="AB54" s="36" t="s">
        <v>106</v>
      </c>
      <c r="AC54" s="36" t="s">
        <v>103</v>
      </c>
      <c r="AD54" s="36" t="s">
        <v>103</v>
      </c>
      <c r="AE54" s="36" t="s">
        <v>126</v>
      </c>
      <c r="AF54" s="36" t="s">
        <v>103</v>
      </c>
      <c r="AG54" s="36" t="s">
        <v>103</v>
      </c>
      <c r="AH54" s="36" t="s">
        <v>103</v>
      </c>
      <c r="AI54" s="36" t="s">
        <v>103</v>
      </c>
      <c r="AJ54" s="36" t="s">
        <v>127</v>
      </c>
      <c r="AK54" s="36" t="s">
        <v>99</v>
      </c>
      <c r="AL54" s="36" t="s">
        <v>159</v>
      </c>
      <c r="AM54" s="36" t="s">
        <v>103</v>
      </c>
      <c r="AN54" s="36" t="s">
        <v>103</v>
      </c>
      <c r="AO54" s="36" t="s">
        <v>103</v>
      </c>
      <c r="AP54" s="36" t="s">
        <v>111</v>
      </c>
      <c r="AQ54" s="36" t="s">
        <v>112</v>
      </c>
      <c r="AR54" s="36" t="s">
        <v>95</v>
      </c>
      <c r="AS54" s="36" t="s">
        <v>154</v>
      </c>
    </row>
    <row r="55" spans="1:45">
      <c r="A55" s="35" t="s">
        <v>241</v>
      </c>
      <c r="B55" s="35" t="s">
        <v>196</v>
      </c>
      <c r="C55" s="35" t="s">
        <v>218</v>
      </c>
      <c r="D55" s="35" t="s">
        <v>219</v>
      </c>
      <c r="E55" s="35" t="s">
        <v>93</v>
      </c>
      <c r="F55" s="35">
        <v>1888</v>
      </c>
      <c r="G55" s="35" t="s">
        <v>94</v>
      </c>
      <c r="H55" s="35" t="s">
        <v>95</v>
      </c>
      <c r="I55" s="35" t="s">
        <v>163</v>
      </c>
      <c r="J55" s="35" t="s">
        <v>97</v>
      </c>
      <c r="K55" s="35" t="s">
        <v>98</v>
      </c>
      <c r="L55" s="35" t="s">
        <v>99</v>
      </c>
      <c r="M55" s="35" t="s">
        <v>103</v>
      </c>
      <c r="N55" s="35" t="s">
        <v>100</v>
      </c>
      <c r="O55" s="35"/>
      <c r="P55" s="35" t="s">
        <v>99</v>
      </c>
      <c r="Q55" s="35" t="s">
        <v>127</v>
      </c>
      <c r="R55" s="35" t="s">
        <v>134</v>
      </c>
      <c r="S55" s="35" t="s">
        <v>103</v>
      </c>
      <c r="T55" s="35" t="s">
        <v>99</v>
      </c>
      <c r="U55" s="35" t="s">
        <v>103</v>
      </c>
      <c r="V55" s="35"/>
      <c r="W55" s="35">
        <v>7</v>
      </c>
      <c r="X55" s="35" t="s">
        <v>147</v>
      </c>
      <c r="Y55" s="35" t="s">
        <v>105</v>
      </c>
      <c r="Z55" s="35" t="s">
        <v>106</v>
      </c>
      <c r="AA55" s="35" t="s">
        <v>99</v>
      </c>
      <c r="AB55" s="35" t="s">
        <v>107</v>
      </c>
      <c r="AC55" s="35" t="s">
        <v>103</v>
      </c>
      <c r="AD55" s="35" t="s">
        <v>103</v>
      </c>
      <c r="AE55" s="35" t="s">
        <v>108</v>
      </c>
      <c r="AF55" s="35" t="s">
        <v>99</v>
      </c>
      <c r="AG55" s="35" t="s">
        <v>99</v>
      </c>
      <c r="AH55" s="35" t="s">
        <v>103</v>
      </c>
      <c r="AI55" s="35" t="s">
        <v>103</v>
      </c>
      <c r="AJ55" s="35" t="s">
        <v>137</v>
      </c>
      <c r="AK55" s="35" t="s">
        <v>99</v>
      </c>
      <c r="AL55" s="35" t="s">
        <v>148</v>
      </c>
      <c r="AM55" s="35" t="s">
        <v>103</v>
      </c>
      <c r="AN55" s="35" t="s">
        <v>103</v>
      </c>
      <c r="AO55" s="35" t="s">
        <v>103</v>
      </c>
      <c r="AP55" s="35" t="s">
        <v>111</v>
      </c>
      <c r="AQ55" s="35" t="s">
        <v>128</v>
      </c>
      <c r="AR55" s="35" t="s">
        <v>113</v>
      </c>
      <c r="AS55" s="35" t="s">
        <v>114</v>
      </c>
    </row>
    <row r="56" spans="1:45">
      <c r="A56" s="36" t="s">
        <v>242</v>
      </c>
      <c r="B56" s="36" t="s">
        <v>196</v>
      </c>
      <c r="C56" s="36" t="s">
        <v>209</v>
      </c>
      <c r="D56" s="36" t="s">
        <v>243</v>
      </c>
      <c r="E56" s="36" t="s">
        <v>141</v>
      </c>
      <c r="F56" s="36">
        <v>1923</v>
      </c>
      <c r="G56" s="36" t="s">
        <v>118</v>
      </c>
      <c r="H56" s="36" t="s">
        <v>113</v>
      </c>
      <c r="I56" s="36" t="s">
        <v>152</v>
      </c>
      <c r="J56" s="36" t="s">
        <v>152</v>
      </c>
      <c r="K56" s="36" t="s">
        <v>132</v>
      </c>
      <c r="L56" s="36" t="s">
        <v>103</v>
      </c>
      <c r="M56" s="36" t="s">
        <v>103</v>
      </c>
      <c r="N56" s="36" t="s">
        <v>100</v>
      </c>
      <c r="O56" s="36"/>
      <c r="P56" s="36" t="s">
        <v>99</v>
      </c>
      <c r="Q56" s="36" t="s">
        <v>101</v>
      </c>
      <c r="R56" s="36" t="s">
        <v>123</v>
      </c>
      <c r="S56" s="36" t="s">
        <v>99</v>
      </c>
      <c r="T56" s="36" t="s">
        <v>103</v>
      </c>
      <c r="U56" s="36" t="s">
        <v>103</v>
      </c>
      <c r="V56" s="36"/>
      <c r="W56" s="36">
        <v>6</v>
      </c>
      <c r="X56" s="36" t="s">
        <v>104</v>
      </c>
      <c r="Y56" s="36" t="s">
        <v>136</v>
      </c>
      <c r="Z56" s="36" t="s">
        <v>107</v>
      </c>
      <c r="AA56" s="36" t="s">
        <v>99</v>
      </c>
      <c r="AB56" s="36" t="s">
        <v>125</v>
      </c>
      <c r="AC56" s="36" t="s">
        <v>103</v>
      </c>
      <c r="AD56" s="36" t="s">
        <v>103</v>
      </c>
      <c r="AE56" s="36" t="s">
        <v>164</v>
      </c>
      <c r="AF56" s="36" t="s">
        <v>99</v>
      </c>
      <c r="AG56" s="36" t="s">
        <v>99</v>
      </c>
      <c r="AH56" s="36" t="s">
        <v>99</v>
      </c>
      <c r="AI56" s="36" t="s">
        <v>103</v>
      </c>
      <c r="AJ56" s="36" t="s">
        <v>127</v>
      </c>
      <c r="AK56" s="36" t="s">
        <v>103</v>
      </c>
      <c r="AL56" s="36"/>
      <c r="AM56" s="36" t="s">
        <v>99</v>
      </c>
      <c r="AN56" s="36" t="s">
        <v>103</v>
      </c>
      <c r="AO56" s="36" t="s">
        <v>103</v>
      </c>
      <c r="AP56" s="36" t="s">
        <v>111</v>
      </c>
      <c r="AQ56" s="36" t="s">
        <v>112</v>
      </c>
      <c r="AR56" s="36" t="s">
        <v>119</v>
      </c>
      <c r="AS56" s="36" t="s">
        <v>154</v>
      </c>
    </row>
    <row r="57" spans="1:45">
      <c r="A57" s="35" t="s">
        <v>244</v>
      </c>
      <c r="B57" s="35" t="s">
        <v>196</v>
      </c>
      <c r="C57" s="35" t="s">
        <v>200</v>
      </c>
      <c r="D57" s="35" t="s">
        <v>245</v>
      </c>
      <c r="E57" s="35" t="s">
        <v>93</v>
      </c>
      <c r="F57" s="35">
        <v>1902</v>
      </c>
      <c r="G57" s="35" t="s">
        <v>118</v>
      </c>
      <c r="H57" s="35" t="s">
        <v>119</v>
      </c>
      <c r="I57" s="35" t="s">
        <v>152</v>
      </c>
      <c r="J57" s="35" t="s">
        <v>152</v>
      </c>
      <c r="K57" s="35" t="s">
        <v>158</v>
      </c>
      <c r="L57" s="35" t="s">
        <v>103</v>
      </c>
      <c r="M57" s="35" t="s">
        <v>103</v>
      </c>
      <c r="N57" s="35" t="s">
        <v>100</v>
      </c>
      <c r="O57" s="35"/>
      <c r="P57" s="35" t="s">
        <v>99</v>
      </c>
      <c r="Q57" s="35" t="s">
        <v>122</v>
      </c>
      <c r="R57" s="35" t="s">
        <v>102</v>
      </c>
      <c r="S57" s="35" t="s">
        <v>103</v>
      </c>
      <c r="T57" s="35" t="s">
        <v>99</v>
      </c>
      <c r="U57" s="35" t="s">
        <v>99</v>
      </c>
      <c r="V57" s="35" t="s">
        <v>124</v>
      </c>
      <c r="W57" s="35">
        <v>7</v>
      </c>
      <c r="X57" s="35" t="s">
        <v>104</v>
      </c>
      <c r="Y57" s="35" t="s">
        <v>105</v>
      </c>
      <c r="Z57" s="35" t="s">
        <v>107</v>
      </c>
      <c r="AA57" s="35" t="s">
        <v>99</v>
      </c>
      <c r="AB57" s="35" t="s">
        <v>125</v>
      </c>
      <c r="AC57" s="35" t="s">
        <v>103</v>
      </c>
      <c r="AD57" s="35" t="s">
        <v>103</v>
      </c>
      <c r="AE57" s="35" t="s">
        <v>164</v>
      </c>
      <c r="AF57" s="35" t="s">
        <v>103</v>
      </c>
      <c r="AG57" s="35" t="s">
        <v>103</v>
      </c>
      <c r="AH57" s="35" t="s">
        <v>103</v>
      </c>
      <c r="AI57" s="35" t="s">
        <v>103</v>
      </c>
      <c r="AJ57" s="35" t="s">
        <v>137</v>
      </c>
      <c r="AK57" s="35" t="s">
        <v>99</v>
      </c>
      <c r="AL57" s="35" t="s">
        <v>110</v>
      </c>
      <c r="AM57" s="35" t="s">
        <v>103</v>
      </c>
      <c r="AN57" s="35" t="s">
        <v>103</v>
      </c>
      <c r="AO57" s="35" t="s">
        <v>103</v>
      </c>
      <c r="AP57" s="35" t="s">
        <v>111</v>
      </c>
      <c r="AQ57" s="35" t="s">
        <v>169</v>
      </c>
      <c r="AR57" s="35" t="s">
        <v>119</v>
      </c>
      <c r="AS57" s="35" t="s">
        <v>154</v>
      </c>
    </row>
    <row r="58" spans="1:45">
      <c r="A58" s="36" t="s">
        <v>246</v>
      </c>
      <c r="B58" s="36" t="s">
        <v>196</v>
      </c>
      <c r="C58" s="36" t="s">
        <v>218</v>
      </c>
      <c r="D58" s="36" t="s">
        <v>219</v>
      </c>
      <c r="E58" s="36" t="s">
        <v>93</v>
      </c>
      <c r="F58" s="36">
        <v>1894</v>
      </c>
      <c r="G58" s="36" t="s">
        <v>94</v>
      </c>
      <c r="H58" s="36" t="s">
        <v>119</v>
      </c>
      <c r="I58" s="36" t="s">
        <v>143</v>
      </c>
      <c r="J58" s="36" t="s">
        <v>97</v>
      </c>
      <c r="K58" s="36" t="s">
        <v>158</v>
      </c>
      <c r="L58" s="36" t="s">
        <v>103</v>
      </c>
      <c r="M58" s="36" t="s">
        <v>103</v>
      </c>
      <c r="N58" s="36" t="s">
        <v>100</v>
      </c>
      <c r="O58" s="36"/>
      <c r="P58" s="36" t="s">
        <v>99</v>
      </c>
      <c r="Q58" s="36" t="s">
        <v>127</v>
      </c>
      <c r="R58" s="36" t="s">
        <v>134</v>
      </c>
      <c r="S58" s="36" t="s">
        <v>103</v>
      </c>
      <c r="T58" s="36" t="s">
        <v>99</v>
      </c>
      <c r="U58" s="36" t="s">
        <v>103</v>
      </c>
      <c r="V58" s="36"/>
      <c r="W58" s="36">
        <v>5</v>
      </c>
      <c r="X58" s="36" t="s">
        <v>175</v>
      </c>
      <c r="Y58" s="36" t="s">
        <v>105</v>
      </c>
      <c r="Z58" s="36" t="s">
        <v>107</v>
      </c>
      <c r="AA58" s="36" t="s">
        <v>99</v>
      </c>
      <c r="AB58" s="36" t="s">
        <v>125</v>
      </c>
      <c r="AC58" s="36" t="s">
        <v>99</v>
      </c>
      <c r="AD58" s="36" t="s">
        <v>103</v>
      </c>
      <c r="AE58" s="36" t="s">
        <v>108</v>
      </c>
      <c r="AF58" s="36" t="s">
        <v>99</v>
      </c>
      <c r="AG58" s="36" t="s">
        <v>99</v>
      </c>
      <c r="AH58" s="36" t="s">
        <v>99</v>
      </c>
      <c r="AI58" s="36" t="s">
        <v>103</v>
      </c>
      <c r="AJ58" s="36" t="s">
        <v>109</v>
      </c>
      <c r="AK58" s="36" t="s">
        <v>99</v>
      </c>
      <c r="AL58" s="36" t="s">
        <v>159</v>
      </c>
      <c r="AM58" s="36" t="s">
        <v>99</v>
      </c>
      <c r="AN58" s="36" t="s">
        <v>103</v>
      </c>
      <c r="AO58" s="36" t="s">
        <v>103</v>
      </c>
      <c r="AP58" s="36" t="s">
        <v>111</v>
      </c>
      <c r="AQ58" s="36" t="s">
        <v>112</v>
      </c>
      <c r="AR58" s="36" t="s">
        <v>113</v>
      </c>
      <c r="AS58" s="36" t="s">
        <v>114</v>
      </c>
    </row>
    <row r="59" spans="1:45">
      <c r="A59" s="35" t="s">
        <v>247</v>
      </c>
      <c r="B59" s="35" t="s">
        <v>248</v>
      </c>
      <c r="C59" s="35" t="s">
        <v>249</v>
      </c>
      <c r="D59" s="35" t="s">
        <v>250</v>
      </c>
      <c r="E59" s="35" t="s">
        <v>168</v>
      </c>
      <c r="F59" s="35">
        <v>1915</v>
      </c>
      <c r="G59" s="35" t="s">
        <v>118</v>
      </c>
      <c r="H59" s="35" t="s">
        <v>95</v>
      </c>
      <c r="I59" s="35" t="s">
        <v>143</v>
      </c>
      <c r="J59" s="35" t="s">
        <v>97</v>
      </c>
      <c r="K59" s="35" t="s">
        <v>98</v>
      </c>
      <c r="L59" s="35" t="s">
        <v>103</v>
      </c>
      <c r="M59" s="35" t="s">
        <v>103</v>
      </c>
      <c r="N59" s="35" t="s">
        <v>133</v>
      </c>
      <c r="O59" s="35"/>
      <c r="P59" s="35" t="s">
        <v>99</v>
      </c>
      <c r="Q59" s="35" t="s">
        <v>122</v>
      </c>
      <c r="R59" s="35" t="s">
        <v>123</v>
      </c>
      <c r="S59" s="35" t="s">
        <v>103</v>
      </c>
      <c r="T59" s="35" t="s">
        <v>99</v>
      </c>
      <c r="U59" s="35" t="s">
        <v>103</v>
      </c>
      <c r="V59" s="35"/>
      <c r="W59" s="35">
        <v>0</v>
      </c>
      <c r="X59" s="35" t="s">
        <v>104</v>
      </c>
      <c r="Y59" s="35" t="s">
        <v>105</v>
      </c>
      <c r="Z59" s="35" t="s">
        <v>107</v>
      </c>
      <c r="AA59" s="35" t="s">
        <v>99</v>
      </c>
      <c r="AB59" s="35" t="s">
        <v>107</v>
      </c>
      <c r="AC59" s="35" t="s">
        <v>103</v>
      </c>
      <c r="AD59" s="35" t="s">
        <v>99</v>
      </c>
      <c r="AE59" s="35" t="s">
        <v>126</v>
      </c>
      <c r="AF59" s="35" t="s">
        <v>103</v>
      </c>
      <c r="AG59" s="35" t="s">
        <v>103</v>
      </c>
      <c r="AH59" s="35" t="s">
        <v>103</v>
      </c>
      <c r="AI59" s="35" t="s">
        <v>103</v>
      </c>
      <c r="AJ59" s="35" t="s">
        <v>127</v>
      </c>
      <c r="AK59" s="35" t="s">
        <v>103</v>
      </c>
      <c r="AL59" s="35"/>
      <c r="AM59" s="35" t="s">
        <v>103</v>
      </c>
      <c r="AN59" s="35" t="s">
        <v>103</v>
      </c>
      <c r="AO59" s="35" t="s">
        <v>103</v>
      </c>
      <c r="AP59" s="35" t="s">
        <v>111</v>
      </c>
      <c r="AQ59" s="35" t="s">
        <v>160</v>
      </c>
      <c r="AR59" s="35" t="s">
        <v>113</v>
      </c>
      <c r="AS59" s="35" t="s">
        <v>114</v>
      </c>
    </row>
    <row r="60" spans="1:45">
      <c r="A60" s="36" t="s">
        <v>251</v>
      </c>
      <c r="B60" s="36" t="s">
        <v>248</v>
      </c>
      <c r="C60" s="36" t="s">
        <v>249</v>
      </c>
      <c r="D60" s="36" t="s">
        <v>250</v>
      </c>
      <c r="E60" s="36" t="s">
        <v>168</v>
      </c>
      <c r="F60" s="36">
        <v>1910</v>
      </c>
      <c r="G60" s="36" t="s">
        <v>94</v>
      </c>
      <c r="H60" s="36" t="s">
        <v>95</v>
      </c>
      <c r="I60" s="36" t="s">
        <v>120</v>
      </c>
      <c r="J60" s="36" t="s">
        <v>97</v>
      </c>
      <c r="K60" s="36" t="s">
        <v>158</v>
      </c>
      <c r="L60" s="36" t="s">
        <v>99</v>
      </c>
      <c r="M60" s="36" t="s">
        <v>103</v>
      </c>
      <c r="N60" s="36" t="s">
        <v>100</v>
      </c>
      <c r="O60" s="36"/>
      <c r="P60" s="36" t="s">
        <v>99</v>
      </c>
      <c r="Q60" s="36" t="s">
        <v>127</v>
      </c>
      <c r="R60" s="36" t="s">
        <v>102</v>
      </c>
      <c r="S60" s="36" t="s">
        <v>103</v>
      </c>
      <c r="T60" s="36" t="s">
        <v>99</v>
      </c>
      <c r="U60" s="36" t="s">
        <v>103</v>
      </c>
      <c r="V60" s="36"/>
      <c r="W60" s="36">
        <v>2</v>
      </c>
      <c r="X60" s="36" t="s">
        <v>135</v>
      </c>
      <c r="Y60" s="36" t="s">
        <v>105</v>
      </c>
      <c r="Z60" s="36" t="s">
        <v>107</v>
      </c>
      <c r="AA60" s="36" t="s">
        <v>99</v>
      </c>
      <c r="AB60" s="36" t="s">
        <v>107</v>
      </c>
      <c r="AC60" s="36" t="s">
        <v>103</v>
      </c>
      <c r="AD60" s="36" t="s">
        <v>103</v>
      </c>
      <c r="AE60" s="36" t="s">
        <v>126</v>
      </c>
      <c r="AF60" s="36" t="s">
        <v>99</v>
      </c>
      <c r="AG60" s="36" t="s">
        <v>99</v>
      </c>
      <c r="AH60" s="36" t="s">
        <v>99</v>
      </c>
      <c r="AI60" s="36" t="s">
        <v>103</v>
      </c>
      <c r="AJ60" s="36" t="s">
        <v>137</v>
      </c>
      <c r="AK60" s="36" t="s">
        <v>99</v>
      </c>
      <c r="AL60" s="36" t="s">
        <v>110</v>
      </c>
      <c r="AM60" s="36" t="s">
        <v>103</v>
      </c>
      <c r="AN60" s="36" t="s">
        <v>103</v>
      </c>
      <c r="AO60" s="36" t="s">
        <v>103</v>
      </c>
      <c r="AP60" s="36" t="s">
        <v>111</v>
      </c>
      <c r="AQ60" s="36" t="s">
        <v>153</v>
      </c>
      <c r="AR60" s="36" t="s">
        <v>119</v>
      </c>
      <c r="AS60" s="36" t="s">
        <v>154</v>
      </c>
    </row>
    <row r="61" spans="1:45">
      <c r="A61" s="35" t="s">
        <v>252</v>
      </c>
      <c r="B61" s="35" t="s">
        <v>248</v>
      </c>
      <c r="C61" s="35" t="s">
        <v>253</v>
      </c>
      <c r="D61" s="35" t="s">
        <v>254</v>
      </c>
      <c r="E61" s="35" t="s">
        <v>168</v>
      </c>
      <c r="F61" s="35">
        <v>1897</v>
      </c>
      <c r="G61" s="35" t="s">
        <v>151</v>
      </c>
      <c r="H61" s="35" t="s">
        <v>113</v>
      </c>
      <c r="I61" s="35" t="s">
        <v>96</v>
      </c>
      <c r="J61" s="35" t="s">
        <v>97</v>
      </c>
      <c r="K61" s="35" t="s">
        <v>98</v>
      </c>
      <c r="L61" s="35" t="s">
        <v>103</v>
      </c>
      <c r="M61" s="35" t="s">
        <v>103</v>
      </c>
      <c r="N61" s="35" t="s">
        <v>133</v>
      </c>
      <c r="O61" s="35"/>
      <c r="P61" s="35" t="s">
        <v>99</v>
      </c>
      <c r="Q61" s="35" t="s">
        <v>122</v>
      </c>
      <c r="R61" s="35" t="s">
        <v>102</v>
      </c>
      <c r="S61" s="35" t="s">
        <v>103</v>
      </c>
      <c r="T61" s="35" t="s">
        <v>99</v>
      </c>
      <c r="U61" s="35" t="s">
        <v>103</v>
      </c>
      <c r="V61" s="35"/>
      <c r="W61" s="35">
        <v>0</v>
      </c>
      <c r="X61" s="35" t="s">
        <v>104</v>
      </c>
      <c r="Y61" s="35" t="s">
        <v>105</v>
      </c>
      <c r="Z61" s="35" t="s">
        <v>125</v>
      </c>
      <c r="AA61" s="35" t="s">
        <v>99</v>
      </c>
      <c r="AB61" s="35" t="s">
        <v>125</v>
      </c>
      <c r="AC61" s="35" t="s">
        <v>99</v>
      </c>
      <c r="AD61" s="35" t="s">
        <v>103</v>
      </c>
      <c r="AE61" s="35" t="s">
        <v>126</v>
      </c>
      <c r="AF61" s="35" t="s">
        <v>103</v>
      </c>
      <c r="AG61" s="35" t="s">
        <v>103</v>
      </c>
      <c r="AH61" s="35" t="s">
        <v>103</v>
      </c>
      <c r="AI61" s="35" t="s">
        <v>103</v>
      </c>
      <c r="AJ61" s="35" t="s">
        <v>127</v>
      </c>
      <c r="AK61" s="35" t="s">
        <v>103</v>
      </c>
      <c r="AL61" s="35"/>
      <c r="AM61" s="35" t="s">
        <v>103</v>
      </c>
      <c r="AN61" s="35" t="s">
        <v>103</v>
      </c>
      <c r="AO61" s="35" t="s">
        <v>103</v>
      </c>
      <c r="AP61" s="35" t="s">
        <v>111</v>
      </c>
      <c r="AQ61" s="35" t="s">
        <v>169</v>
      </c>
      <c r="AR61" s="35" t="s">
        <v>119</v>
      </c>
      <c r="AS61" s="35" t="s">
        <v>154</v>
      </c>
    </row>
    <row r="62" spans="1:45">
      <c r="A62" s="36" t="s">
        <v>255</v>
      </c>
      <c r="B62" s="36" t="s">
        <v>248</v>
      </c>
      <c r="C62" s="36" t="s">
        <v>253</v>
      </c>
      <c r="D62" s="36" t="s">
        <v>254</v>
      </c>
      <c r="E62" s="36" t="s">
        <v>168</v>
      </c>
      <c r="F62" s="36">
        <v>1876</v>
      </c>
      <c r="G62" s="36" t="s">
        <v>118</v>
      </c>
      <c r="H62" s="36" t="s">
        <v>119</v>
      </c>
      <c r="I62" s="36" t="s">
        <v>143</v>
      </c>
      <c r="J62" s="36" t="s">
        <v>97</v>
      </c>
      <c r="K62" s="36" t="s">
        <v>132</v>
      </c>
      <c r="L62" s="36" t="s">
        <v>103</v>
      </c>
      <c r="M62" s="36" t="s">
        <v>103</v>
      </c>
      <c r="N62" s="36" t="s">
        <v>133</v>
      </c>
      <c r="O62" s="36"/>
      <c r="P62" s="36" t="s">
        <v>99</v>
      </c>
      <c r="Q62" s="36" t="s">
        <v>122</v>
      </c>
      <c r="R62" s="36" t="s">
        <v>102</v>
      </c>
      <c r="S62" s="36" t="s">
        <v>103</v>
      </c>
      <c r="T62" s="36" t="s">
        <v>99</v>
      </c>
      <c r="U62" s="36" t="s">
        <v>103</v>
      </c>
      <c r="V62" s="36"/>
      <c r="W62" s="36">
        <v>4</v>
      </c>
      <c r="X62" s="36" t="s">
        <v>175</v>
      </c>
      <c r="Y62" s="36" t="s">
        <v>105</v>
      </c>
      <c r="Z62" s="36" t="s">
        <v>106</v>
      </c>
      <c r="AA62" s="36" t="s">
        <v>99</v>
      </c>
      <c r="AB62" s="36" t="s">
        <v>106</v>
      </c>
      <c r="AC62" s="36" t="s">
        <v>103</v>
      </c>
      <c r="AD62" s="36" t="s">
        <v>103</v>
      </c>
      <c r="AE62" s="36" t="s">
        <v>108</v>
      </c>
      <c r="AF62" s="36" t="s">
        <v>99</v>
      </c>
      <c r="AG62" s="36" t="s">
        <v>99</v>
      </c>
      <c r="AH62" s="36" t="s">
        <v>99</v>
      </c>
      <c r="AI62" s="36" t="s">
        <v>99</v>
      </c>
      <c r="AJ62" s="36" t="s">
        <v>109</v>
      </c>
      <c r="AK62" s="36" t="s">
        <v>99</v>
      </c>
      <c r="AL62" s="36" t="s">
        <v>159</v>
      </c>
      <c r="AM62" s="36" t="s">
        <v>103</v>
      </c>
      <c r="AN62" s="36" t="s">
        <v>99</v>
      </c>
      <c r="AO62" s="36" t="s">
        <v>103</v>
      </c>
      <c r="AP62" s="36" t="s">
        <v>111</v>
      </c>
      <c r="AQ62" s="36" t="s">
        <v>153</v>
      </c>
      <c r="AR62" s="36" t="s">
        <v>113</v>
      </c>
      <c r="AS62" s="36" t="s">
        <v>114</v>
      </c>
    </row>
    <row r="63" spans="1:45">
      <c r="A63" s="35" t="s">
        <v>256</v>
      </c>
      <c r="B63" s="35" t="s">
        <v>257</v>
      </c>
      <c r="C63" s="35" t="s">
        <v>258</v>
      </c>
      <c r="D63" s="35" t="s">
        <v>259</v>
      </c>
      <c r="E63" s="35" t="s">
        <v>141</v>
      </c>
      <c r="F63" s="35">
        <v>1871</v>
      </c>
      <c r="G63" s="35" t="s">
        <v>151</v>
      </c>
      <c r="H63" s="35" t="s">
        <v>113</v>
      </c>
      <c r="I63" s="35" t="s">
        <v>152</v>
      </c>
      <c r="J63" s="35" t="s">
        <v>152</v>
      </c>
      <c r="K63" s="35" t="s">
        <v>121</v>
      </c>
      <c r="L63" s="35" t="s">
        <v>99</v>
      </c>
      <c r="M63" s="35" t="s">
        <v>103</v>
      </c>
      <c r="N63" s="35" t="s">
        <v>100</v>
      </c>
      <c r="O63" s="35"/>
      <c r="P63" s="35" t="s">
        <v>99</v>
      </c>
      <c r="Q63" s="35" t="s">
        <v>122</v>
      </c>
      <c r="R63" s="35" t="s">
        <v>102</v>
      </c>
      <c r="S63" s="35" t="s">
        <v>103</v>
      </c>
      <c r="T63" s="35" t="s">
        <v>99</v>
      </c>
      <c r="U63" s="35" t="s">
        <v>99</v>
      </c>
      <c r="V63" s="35" t="s">
        <v>124</v>
      </c>
      <c r="W63" s="35">
        <v>0</v>
      </c>
      <c r="X63" s="35" t="s">
        <v>175</v>
      </c>
      <c r="Y63" s="35" t="s">
        <v>105</v>
      </c>
      <c r="Z63" s="35" t="s">
        <v>125</v>
      </c>
      <c r="AA63" s="35" t="s">
        <v>99</v>
      </c>
      <c r="AB63" s="35" t="s">
        <v>106</v>
      </c>
      <c r="AC63" s="35" t="s">
        <v>103</v>
      </c>
      <c r="AD63" s="35" t="s">
        <v>103</v>
      </c>
      <c r="AE63" s="35" t="s">
        <v>126</v>
      </c>
      <c r="AF63" s="35" t="s">
        <v>103</v>
      </c>
      <c r="AG63" s="35" t="s">
        <v>103</v>
      </c>
      <c r="AH63" s="35" t="s">
        <v>103</v>
      </c>
      <c r="AI63" s="35" t="s">
        <v>103</v>
      </c>
      <c r="AJ63" s="35" t="s">
        <v>109</v>
      </c>
      <c r="AK63" s="35" t="s">
        <v>99</v>
      </c>
      <c r="AL63" s="35" t="s">
        <v>159</v>
      </c>
      <c r="AM63" s="35" t="s">
        <v>103</v>
      </c>
      <c r="AN63" s="35" t="s">
        <v>103</v>
      </c>
      <c r="AO63" s="35" t="s">
        <v>103</v>
      </c>
      <c r="AP63" s="35" t="s">
        <v>111</v>
      </c>
      <c r="AQ63" s="35" t="s">
        <v>169</v>
      </c>
      <c r="AR63" s="35" t="s">
        <v>119</v>
      </c>
      <c r="AS63" s="35" t="s">
        <v>154</v>
      </c>
    </row>
    <row r="64" spans="1:45">
      <c r="A64" s="36" t="s">
        <v>260</v>
      </c>
      <c r="B64" s="36" t="s">
        <v>257</v>
      </c>
      <c r="C64" s="36" t="s">
        <v>258</v>
      </c>
      <c r="D64" s="36" t="s">
        <v>261</v>
      </c>
      <c r="E64" s="36" t="s">
        <v>93</v>
      </c>
      <c r="F64" s="36">
        <v>1918</v>
      </c>
      <c r="G64" s="36" t="s">
        <v>118</v>
      </c>
      <c r="H64" s="36" t="s">
        <v>95</v>
      </c>
      <c r="I64" s="36" t="s">
        <v>143</v>
      </c>
      <c r="J64" s="36" t="s">
        <v>97</v>
      </c>
      <c r="K64" s="36" t="s">
        <v>158</v>
      </c>
      <c r="L64" s="36" t="s">
        <v>103</v>
      </c>
      <c r="M64" s="36" t="s">
        <v>103</v>
      </c>
      <c r="N64" s="36" t="s">
        <v>133</v>
      </c>
      <c r="O64" s="36"/>
      <c r="P64" s="36" t="s">
        <v>99</v>
      </c>
      <c r="Q64" s="36" t="s">
        <v>101</v>
      </c>
      <c r="R64" s="36" t="s">
        <v>102</v>
      </c>
      <c r="S64" s="36" t="s">
        <v>99</v>
      </c>
      <c r="T64" s="36" t="s">
        <v>103</v>
      </c>
      <c r="U64" s="36" t="s">
        <v>103</v>
      </c>
      <c r="V64" s="36"/>
      <c r="W64" s="36">
        <v>5</v>
      </c>
      <c r="X64" s="36" t="s">
        <v>175</v>
      </c>
      <c r="Y64" s="36" t="s">
        <v>105</v>
      </c>
      <c r="Z64" s="36" t="s">
        <v>125</v>
      </c>
      <c r="AA64" s="36" t="s">
        <v>99</v>
      </c>
      <c r="AB64" s="36" t="s">
        <v>107</v>
      </c>
      <c r="AC64" s="36" t="s">
        <v>103</v>
      </c>
      <c r="AD64" s="36" t="s">
        <v>103</v>
      </c>
      <c r="AE64" s="36" t="s">
        <v>164</v>
      </c>
      <c r="AF64" s="36" t="s">
        <v>103</v>
      </c>
      <c r="AG64" s="36" t="s">
        <v>103</v>
      </c>
      <c r="AH64" s="36" t="s">
        <v>103</v>
      </c>
      <c r="AI64" s="36" t="s">
        <v>103</v>
      </c>
      <c r="AJ64" s="36" t="s">
        <v>137</v>
      </c>
      <c r="AK64" s="36" t="s">
        <v>99</v>
      </c>
      <c r="AL64" s="36" t="s">
        <v>148</v>
      </c>
      <c r="AM64" s="36" t="s">
        <v>103</v>
      </c>
      <c r="AN64" s="36" t="s">
        <v>99</v>
      </c>
      <c r="AO64" s="36" t="s">
        <v>103</v>
      </c>
      <c r="AP64" s="36" t="s">
        <v>111</v>
      </c>
      <c r="AQ64" s="36" t="s">
        <v>112</v>
      </c>
      <c r="AR64" s="36" t="s">
        <v>113</v>
      </c>
      <c r="AS64" s="36" t="s">
        <v>114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zoomScaleNormal="100" workbookViewId="0">
      <selection sqref="A1:C1"/>
    </sheetView>
  </sheetViews>
  <sheetFormatPr baseColWidth="10" defaultColWidth="10.5" defaultRowHeight="16"/>
  <cols>
    <col min="1" max="1" width="21.5" customWidth="1"/>
    <col min="2" max="2" width="27.1640625" customWidth="1"/>
    <col min="3" max="3" width="43.6640625" customWidth="1"/>
  </cols>
  <sheetData>
    <row r="1" spans="1:8" ht="18" customHeight="1">
      <c r="A1" s="8" t="s">
        <v>262</v>
      </c>
      <c r="B1" s="8"/>
      <c r="C1" s="8"/>
      <c r="D1" s="37"/>
      <c r="E1" s="37"/>
      <c r="F1" s="37"/>
      <c r="G1" s="38"/>
    </row>
    <row r="2" spans="1:8" ht="15.75" customHeight="1">
      <c r="A2" s="39" t="s">
        <v>263</v>
      </c>
      <c r="B2" s="39" t="s">
        <v>264</v>
      </c>
      <c r="C2" s="39" t="s">
        <v>265</v>
      </c>
      <c r="D2" s="37"/>
      <c r="E2" s="37"/>
      <c r="F2" s="37"/>
      <c r="G2" s="37"/>
      <c r="H2" s="40"/>
    </row>
    <row r="3" spans="1:8">
      <c r="A3" s="41" t="s">
        <v>10</v>
      </c>
      <c r="B3" s="41" t="s">
        <v>266</v>
      </c>
      <c r="C3" s="41" t="s">
        <v>267</v>
      </c>
      <c r="D3" s="37"/>
      <c r="E3" s="37"/>
      <c r="F3" s="37"/>
      <c r="G3" s="37"/>
      <c r="H3" s="40"/>
    </row>
    <row r="4" spans="1:8">
      <c r="A4" s="41" t="s">
        <v>268</v>
      </c>
      <c r="B4" s="41" t="s">
        <v>269</v>
      </c>
      <c r="C4" s="41" t="s">
        <v>270</v>
      </c>
      <c r="D4" s="37"/>
      <c r="E4" s="37"/>
      <c r="F4" s="37"/>
      <c r="G4" s="37"/>
      <c r="H4" s="40"/>
    </row>
    <row r="5" spans="1:8">
      <c r="A5" s="41" t="s">
        <v>12</v>
      </c>
      <c r="B5" s="41" t="s">
        <v>271</v>
      </c>
      <c r="C5" s="41" t="s">
        <v>272</v>
      </c>
      <c r="D5" s="37"/>
      <c r="E5" s="37"/>
      <c r="F5" s="37"/>
      <c r="G5" s="37"/>
      <c r="H5" s="40"/>
    </row>
    <row r="6" spans="1:8">
      <c r="A6" s="41" t="s">
        <v>14</v>
      </c>
      <c r="B6" s="41" t="s">
        <v>273</v>
      </c>
      <c r="C6" s="41" t="s">
        <v>274</v>
      </c>
      <c r="D6" s="37"/>
      <c r="E6" s="37"/>
      <c r="F6" s="37"/>
      <c r="G6" s="37"/>
      <c r="H6" s="40"/>
    </row>
    <row r="7" spans="1:8">
      <c r="A7" s="41" t="s">
        <v>15</v>
      </c>
      <c r="B7" s="41" t="s">
        <v>275</v>
      </c>
      <c r="C7" s="41" t="s">
        <v>276</v>
      </c>
      <c r="D7" s="37"/>
      <c r="E7" s="37"/>
      <c r="F7" s="37"/>
      <c r="G7" s="37"/>
      <c r="H7" s="40"/>
    </row>
    <row r="8" spans="1:8">
      <c r="A8" s="41" t="s">
        <v>16</v>
      </c>
      <c r="B8" s="41" t="s">
        <v>277</v>
      </c>
      <c r="C8" s="41" t="s">
        <v>278</v>
      </c>
      <c r="D8" s="37"/>
      <c r="E8" s="37"/>
      <c r="F8" s="37"/>
      <c r="G8" s="37"/>
      <c r="H8" s="40"/>
    </row>
    <row r="9" spans="1:8">
      <c r="A9" s="38"/>
      <c r="B9" s="38"/>
      <c r="C9" s="37"/>
      <c r="D9" s="37"/>
      <c r="E9" s="37"/>
      <c r="F9" s="37"/>
      <c r="G9" s="37"/>
      <c r="H9" s="40"/>
    </row>
    <row r="10" spans="1:8" ht="18" customHeight="1">
      <c r="A10" s="7" t="s">
        <v>279</v>
      </c>
      <c r="B10" s="7"/>
      <c r="C10" s="7"/>
      <c r="D10" s="37"/>
      <c r="E10" s="37"/>
      <c r="F10" s="37"/>
      <c r="G10" s="37"/>
      <c r="H10" s="40"/>
    </row>
    <row r="11" spans="1:8">
      <c r="A11" s="39" t="s">
        <v>263</v>
      </c>
      <c r="B11" s="39" t="s">
        <v>264</v>
      </c>
      <c r="C11" s="39" t="s">
        <v>265</v>
      </c>
      <c r="D11" s="37"/>
      <c r="E11" s="37"/>
      <c r="F11" s="37"/>
      <c r="G11" s="37"/>
      <c r="H11" s="40"/>
    </row>
    <row r="12" spans="1:8">
      <c r="A12" s="41" t="s">
        <v>18</v>
      </c>
      <c r="B12" s="41" t="s">
        <v>280</v>
      </c>
      <c r="C12" s="41" t="s">
        <v>281</v>
      </c>
      <c r="D12" s="37"/>
      <c r="E12" s="37"/>
      <c r="F12" s="37"/>
      <c r="G12" s="37"/>
      <c r="H12" s="40"/>
    </row>
    <row r="13" spans="1:8">
      <c r="A13" s="41" t="s">
        <v>20</v>
      </c>
      <c r="B13" s="41" t="s">
        <v>282</v>
      </c>
      <c r="C13" s="41" t="s">
        <v>283</v>
      </c>
      <c r="D13" s="37"/>
      <c r="E13" s="37"/>
      <c r="F13" s="37"/>
      <c r="G13" s="37"/>
      <c r="H13" s="40"/>
    </row>
    <row r="14" spans="1:8">
      <c r="A14" s="41" t="s">
        <v>284</v>
      </c>
      <c r="B14" s="41" t="s">
        <v>285</v>
      </c>
      <c r="C14" s="41" t="s">
        <v>286</v>
      </c>
      <c r="D14" s="37"/>
      <c r="E14" s="37"/>
      <c r="F14" s="37"/>
      <c r="G14" s="37"/>
      <c r="H14" s="40"/>
    </row>
    <row r="15" spans="1:8">
      <c r="A15" s="41" t="s">
        <v>287</v>
      </c>
      <c r="B15" s="41" t="s">
        <v>288</v>
      </c>
      <c r="C15" s="41" t="s">
        <v>289</v>
      </c>
      <c r="D15" s="37"/>
      <c r="E15" s="37"/>
      <c r="F15" s="37"/>
      <c r="G15" s="37"/>
      <c r="H15" s="40"/>
    </row>
    <row r="16" spans="1:8">
      <c r="A16" s="38"/>
      <c r="B16" s="38"/>
      <c r="C16" s="37"/>
      <c r="D16" s="37"/>
      <c r="E16" s="37"/>
      <c r="F16" s="37"/>
      <c r="G16" s="37"/>
      <c r="H16" s="40"/>
    </row>
    <row r="17" spans="1:8" ht="18" customHeight="1">
      <c r="A17" s="7" t="s">
        <v>290</v>
      </c>
      <c r="B17" s="7"/>
      <c r="C17" s="7"/>
      <c r="D17" s="37"/>
      <c r="E17" s="37"/>
      <c r="F17" s="37"/>
      <c r="G17" s="37"/>
      <c r="H17" s="40"/>
    </row>
    <row r="18" spans="1:8">
      <c r="A18" s="39" t="s">
        <v>263</v>
      </c>
      <c r="B18" s="39" t="s">
        <v>264</v>
      </c>
      <c r="C18" s="39" t="s">
        <v>265</v>
      </c>
      <c r="D18" s="37"/>
      <c r="E18" s="37"/>
      <c r="F18" s="37"/>
      <c r="G18" s="37"/>
      <c r="H18" s="40"/>
    </row>
    <row r="19" spans="1:8">
      <c r="A19" s="41" t="s">
        <v>291</v>
      </c>
      <c r="B19" s="41" t="s">
        <v>292</v>
      </c>
      <c r="C19" s="41" t="s">
        <v>293</v>
      </c>
      <c r="D19" s="37"/>
      <c r="E19" s="37"/>
      <c r="F19" s="37"/>
      <c r="G19" s="37"/>
      <c r="H19" s="40"/>
    </row>
    <row r="20" spans="1:8">
      <c r="A20" s="41" t="s">
        <v>294</v>
      </c>
      <c r="B20" s="41" t="s">
        <v>295</v>
      </c>
      <c r="C20" s="41" t="s">
        <v>296</v>
      </c>
      <c r="D20" s="37"/>
      <c r="E20" s="37"/>
      <c r="F20" s="37"/>
      <c r="G20" s="37"/>
      <c r="H20" s="40"/>
    </row>
    <row r="21" spans="1:8">
      <c r="A21" s="41" t="s">
        <v>297</v>
      </c>
      <c r="B21" s="41" t="s">
        <v>298</v>
      </c>
      <c r="C21" s="41" t="s">
        <v>299</v>
      </c>
      <c r="D21" s="37"/>
      <c r="E21" s="37"/>
      <c r="F21" s="37"/>
      <c r="G21" s="37"/>
      <c r="H21" s="40"/>
    </row>
    <row r="22" spans="1:8">
      <c r="A22" s="38"/>
      <c r="B22" s="38"/>
      <c r="C22" s="37"/>
      <c r="D22" s="37"/>
      <c r="E22" s="37"/>
      <c r="F22" s="37"/>
      <c r="G22" s="37"/>
      <c r="H22" s="40"/>
    </row>
    <row r="23" spans="1:8" ht="18" customHeight="1">
      <c r="A23" s="7" t="s">
        <v>300</v>
      </c>
      <c r="B23" s="7"/>
      <c r="C23" s="7"/>
      <c r="D23" s="37"/>
      <c r="E23" s="37"/>
      <c r="F23" s="37"/>
      <c r="G23" s="38"/>
    </row>
    <row r="24" spans="1:8">
      <c r="A24" s="39" t="s">
        <v>263</v>
      </c>
      <c r="B24" s="39" t="s">
        <v>264</v>
      </c>
      <c r="C24" s="39" t="s">
        <v>265</v>
      </c>
      <c r="D24" s="37"/>
      <c r="E24" s="37"/>
      <c r="F24" s="37"/>
      <c r="G24" s="38"/>
    </row>
    <row r="25" spans="1:8">
      <c r="A25" s="41" t="s">
        <v>301</v>
      </c>
      <c r="B25" s="41" t="s">
        <v>285</v>
      </c>
      <c r="C25" s="41" t="s">
        <v>302</v>
      </c>
      <c r="D25" s="37"/>
      <c r="E25" s="37"/>
      <c r="F25" s="37"/>
      <c r="G25" s="38"/>
    </row>
    <row r="26" spans="1:8">
      <c r="A26" s="41" t="s">
        <v>303</v>
      </c>
      <c r="B26" s="41" t="s">
        <v>304</v>
      </c>
      <c r="C26" s="41" t="s">
        <v>305</v>
      </c>
      <c r="D26" s="37"/>
      <c r="E26" s="37"/>
      <c r="F26" s="37"/>
      <c r="G26" s="38"/>
    </row>
    <row r="27" spans="1:8">
      <c r="A27" s="41" t="s">
        <v>306</v>
      </c>
      <c r="B27" s="41" t="s">
        <v>307</v>
      </c>
      <c r="C27" s="41" t="s">
        <v>308</v>
      </c>
      <c r="D27" s="37"/>
      <c r="E27" s="37"/>
      <c r="F27" s="37"/>
      <c r="G27" s="38"/>
    </row>
    <row r="28" spans="1:8">
      <c r="A28" s="41" t="s">
        <v>34</v>
      </c>
      <c r="B28" s="41" t="s">
        <v>309</v>
      </c>
      <c r="C28" s="41" t="s">
        <v>310</v>
      </c>
      <c r="D28" s="37"/>
      <c r="E28" s="37"/>
      <c r="F28" s="37"/>
      <c r="G28" s="38"/>
    </row>
    <row r="29" spans="1:8">
      <c r="A29" s="41" t="s">
        <v>311</v>
      </c>
      <c r="B29" s="41" t="s">
        <v>72</v>
      </c>
      <c r="C29" s="41" t="s">
        <v>312</v>
      </c>
      <c r="D29" s="37"/>
      <c r="E29" s="37"/>
      <c r="F29" s="37"/>
      <c r="G29" s="38"/>
    </row>
    <row r="30" spans="1:8">
      <c r="A30" s="38"/>
      <c r="B30" s="38"/>
      <c r="C30" s="38"/>
      <c r="D30" s="37"/>
      <c r="E30" s="37"/>
      <c r="F30" s="37"/>
      <c r="G30" s="38"/>
    </row>
    <row r="31" spans="1:8" ht="18" customHeight="1">
      <c r="A31" s="7" t="s">
        <v>313</v>
      </c>
      <c r="B31" s="7"/>
      <c r="C31" s="7"/>
      <c r="D31" s="37"/>
      <c r="E31" s="37"/>
      <c r="F31" s="37"/>
      <c r="G31" s="38"/>
    </row>
    <row r="32" spans="1:8">
      <c r="A32" s="39" t="s">
        <v>263</v>
      </c>
      <c r="B32" s="39" t="s">
        <v>264</v>
      </c>
      <c r="C32" s="39" t="s">
        <v>265</v>
      </c>
      <c r="D32" s="37"/>
      <c r="E32" s="37"/>
      <c r="F32" s="37"/>
      <c r="G32" s="38"/>
    </row>
    <row r="33" spans="1:7">
      <c r="A33" s="41" t="s">
        <v>314</v>
      </c>
      <c r="B33" s="41" t="s">
        <v>285</v>
      </c>
      <c r="C33" s="41" t="s">
        <v>315</v>
      </c>
      <c r="D33" s="37"/>
      <c r="E33" s="37"/>
      <c r="F33" s="37"/>
      <c r="G33" s="38"/>
    </row>
    <row r="34" spans="1:7">
      <c r="A34" s="41" t="s">
        <v>316</v>
      </c>
      <c r="B34" s="41" t="s">
        <v>317</v>
      </c>
      <c r="C34" s="41" t="s">
        <v>318</v>
      </c>
      <c r="D34" s="37"/>
      <c r="E34" s="37"/>
      <c r="F34" s="37"/>
      <c r="G34" s="38"/>
    </row>
    <row r="35" spans="1:7">
      <c r="A35" s="41" t="s">
        <v>319</v>
      </c>
      <c r="B35" s="41" t="s">
        <v>285</v>
      </c>
      <c r="C35" s="41" t="s">
        <v>320</v>
      </c>
      <c r="D35" s="37"/>
      <c r="E35" s="37"/>
      <c r="F35" s="37"/>
      <c r="G35" s="38"/>
    </row>
    <row r="36" spans="1:7">
      <c r="A36" s="38"/>
      <c r="B36" s="38"/>
      <c r="C36" s="38"/>
      <c r="D36" s="37"/>
      <c r="E36" s="37"/>
      <c r="F36" s="37"/>
      <c r="G36" s="38"/>
    </row>
    <row r="37" spans="1:7" ht="18" customHeight="1">
      <c r="A37" s="7" t="s">
        <v>321</v>
      </c>
      <c r="B37" s="7"/>
      <c r="C37" s="7"/>
      <c r="D37" s="37"/>
      <c r="E37" s="37"/>
      <c r="F37" s="37"/>
      <c r="G37" s="38"/>
    </row>
    <row r="38" spans="1:7">
      <c r="A38" s="39" t="s">
        <v>263</v>
      </c>
      <c r="B38" s="39" t="s">
        <v>264</v>
      </c>
      <c r="C38" s="39" t="s">
        <v>265</v>
      </c>
      <c r="D38" s="37"/>
      <c r="E38" s="37"/>
      <c r="F38" s="37"/>
      <c r="G38" s="38"/>
    </row>
    <row r="39" spans="1:7">
      <c r="A39" s="41" t="s">
        <v>322</v>
      </c>
      <c r="B39" s="41" t="s">
        <v>323</v>
      </c>
      <c r="C39" s="41" t="s">
        <v>324</v>
      </c>
      <c r="D39" s="37"/>
      <c r="E39" s="37"/>
      <c r="F39" s="37"/>
      <c r="G39" s="38"/>
    </row>
    <row r="40" spans="1:7">
      <c r="A40" s="41" t="s">
        <v>325</v>
      </c>
      <c r="B40" s="41" t="s">
        <v>326</v>
      </c>
      <c r="C40" s="41" t="s">
        <v>327</v>
      </c>
      <c r="D40" s="37"/>
      <c r="E40" s="37"/>
      <c r="F40" s="37"/>
      <c r="G40" s="38"/>
    </row>
    <row r="41" spans="1:7">
      <c r="A41" s="41" t="s">
        <v>328</v>
      </c>
      <c r="B41" s="41" t="s">
        <v>285</v>
      </c>
      <c r="C41" s="41" t="s">
        <v>329</v>
      </c>
      <c r="D41" s="37"/>
      <c r="E41" s="37"/>
      <c r="F41" s="37"/>
      <c r="G41" s="38"/>
    </row>
    <row r="42" spans="1:7">
      <c r="A42" s="41" t="s">
        <v>330</v>
      </c>
      <c r="B42" s="41" t="s">
        <v>331</v>
      </c>
      <c r="C42" s="41" t="s">
        <v>332</v>
      </c>
      <c r="D42" s="37"/>
      <c r="E42" s="37"/>
      <c r="F42" s="37"/>
      <c r="G42" s="38"/>
    </row>
    <row r="43" spans="1:7">
      <c r="A43" s="41" t="s">
        <v>333</v>
      </c>
      <c r="B43" s="41" t="s">
        <v>285</v>
      </c>
      <c r="C43" s="41" t="s">
        <v>334</v>
      </c>
      <c r="D43" s="37"/>
      <c r="E43" s="37"/>
      <c r="F43" s="37"/>
      <c r="G43" s="38"/>
    </row>
    <row r="44" spans="1:7">
      <c r="A44" s="38"/>
      <c r="B44" s="38"/>
      <c r="C44" s="38"/>
      <c r="D44" s="37"/>
      <c r="E44" s="37"/>
      <c r="F44" s="37"/>
      <c r="G44" s="38"/>
    </row>
    <row r="45" spans="1:7" ht="18" customHeight="1">
      <c r="A45" s="7" t="s">
        <v>335</v>
      </c>
      <c r="B45" s="7"/>
      <c r="C45" s="7"/>
      <c r="D45" s="37"/>
      <c r="E45" s="37"/>
      <c r="F45" s="37"/>
      <c r="G45" s="38"/>
    </row>
    <row r="46" spans="1:7">
      <c r="A46" s="39" t="s">
        <v>263</v>
      </c>
      <c r="B46" s="39" t="s">
        <v>264</v>
      </c>
      <c r="C46" s="39" t="s">
        <v>265</v>
      </c>
      <c r="D46" s="37"/>
      <c r="E46" s="37"/>
      <c r="F46" s="37"/>
      <c r="G46" s="38"/>
    </row>
    <row r="47" spans="1:7">
      <c r="A47" s="41" t="s">
        <v>336</v>
      </c>
      <c r="B47" s="41" t="s">
        <v>285</v>
      </c>
      <c r="C47" s="41" t="s">
        <v>337</v>
      </c>
      <c r="D47" s="37"/>
      <c r="E47" s="37"/>
      <c r="F47" s="37"/>
      <c r="G47" s="38"/>
    </row>
    <row r="48" spans="1:7">
      <c r="A48" s="41" t="s">
        <v>338</v>
      </c>
      <c r="B48" s="41" t="s">
        <v>285</v>
      </c>
      <c r="C48" s="41" t="s">
        <v>339</v>
      </c>
      <c r="D48" s="37"/>
      <c r="E48" s="37"/>
      <c r="F48" s="37"/>
      <c r="G48" s="38"/>
    </row>
    <row r="49" spans="1:7">
      <c r="A49" s="41" t="s">
        <v>340</v>
      </c>
      <c r="B49" s="41" t="s">
        <v>285</v>
      </c>
      <c r="C49" s="41" t="s">
        <v>341</v>
      </c>
      <c r="D49" s="37"/>
      <c r="E49" s="37"/>
      <c r="F49" s="37"/>
      <c r="G49" s="38"/>
    </row>
    <row r="50" spans="1:7">
      <c r="A50" s="41" t="s">
        <v>342</v>
      </c>
      <c r="B50" s="41" t="s">
        <v>285</v>
      </c>
      <c r="C50" s="41" t="s">
        <v>343</v>
      </c>
      <c r="D50" s="38"/>
      <c r="E50" s="38"/>
      <c r="F50" s="38"/>
      <c r="G50" s="38"/>
    </row>
    <row r="51" spans="1:7">
      <c r="A51" s="38"/>
      <c r="B51" s="38"/>
      <c r="C51" s="38"/>
      <c r="D51" s="38"/>
      <c r="E51" s="38"/>
      <c r="F51" s="38"/>
      <c r="G51" s="38"/>
    </row>
    <row r="52" spans="1:7" ht="18" customHeight="1">
      <c r="A52" s="7" t="s">
        <v>344</v>
      </c>
      <c r="B52" s="7"/>
      <c r="C52" s="7"/>
      <c r="D52" s="38"/>
      <c r="E52" s="38"/>
      <c r="F52" s="38"/>
      <c r="G52" s="38"/>
    </row>
    <row r="53" spans="1:7">
      <c r="A53" s="39" t="s">
        <v>263</v>
      </c>
      <c r="B53" s="39" t="s">
        <v>264</v>
      </c>
      <c r="C53" s="39" t="s">
        <v>265</v>
      </c>
      <c r="D53" s="38"/>
      <c r="E53" s="38"/>
      <c r="F53" s="38"/>
      <c r="G53" s="38"/>
    </row>
    <row r="54" spans="1:7">
      <c r="A54" s="41" t="s">
        <v>345</v>
      </c>
      <c r="B54" s="41" t="s">
        <v>346</v>
      </c>
      <c r="C54" s="41" t="s">
        <v>347</v>
      </c>
      <c r="D54" s="38"/>
      <c r="E54" s="38"/>
      <c r="F54" s="38"/>
      <c r="G54" s="38"/>
    </row>
    <row r="55" spans="1:7">
      <c r="A55" s="41" t="s">
        <v>348</v>
      </c>
      <c r="B55" s="41" t="s">
        <v>285</v>
      </c>
      <c r="C55" s="41" t="s">
        <v>349</v>
      </c>
      <c r="D55" s="38"/>
      <c r="E55" s="38"/>
      <c r="F55" s="38"/>
      <c r="G55" s="38"/>
    </row>
    <row r="56" spans="1:7">
      <c r="A56" s="41" t="s">
        <v>350</v>
      </c>
      <c r="B56" s="41" t="s">
        <v>271</v>
      </c>
      <c r="C56" s="41" t="s">
        <v>351</v>
      </c>
      <c r="D56" s="38"/>
      <c r="E56" s="38"/>
      <c r="F56" s="38"/>
      <c r="G56" s="38"/>
    </row>
  </sheetData>
  <mergeCells count="8">
    <mergeCell ref="A37:C37"/>
    <mergeCell ref="A45:C45"/>
    <mergeCell ref="A52:C52"/>
    <mergeCell ref="A1:C1"/>
    <mergeCell ref="A10:C10"/>
    <mergeCell ref="A17:C17"/>
    <mergeCell ref="A23:C23"/>
    <mergeCell ref="A31:C3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zoomScaleNormal="100" workbookViewId="0">
      <selection activeCell="E35" sqref="E35"/>
    </sheetView>
  </sheetViews>
  <sheetFormatPr baseColWidth="10" defaultColWidth="10.5" defaultRowHeight="16"/>
  <sheetData>
    <row r="1" spans="1:6">
      <c r="A1" s="42" t="s">
        <v>352</v>
      </c>
      <c r="B1" s="42"/>
      <c r="C1" s="42"/>
      <c r="D1" s="42"/>
      <c r="E1" s="42"/>
      <c r="F1" s="42"/>
    </row>
    <row r="2" spans="1:6">
      <c r="A2" s="42" t="s">
        <v>353</v>
      </c>
      <c r="B2" s="42"/>
      <c r="C2" s="42"/>
      <c r="D2" s="42"/>
      <c r="E2" s="42"/>
      <c r="F2" s="42"/>
    </row>
    <row r="3" spans="1:6">
      <c r="A3" s="42" t="s">
        <v>354</v>
      </c>
      <c r="B3" s="42"/>
      <c r="C3" s="42"/>
      <c r="D3" s="42"/>
      <c r="E3" s="42"/>
      <c r="F3" s="42"/>
    </row>
    <row r="4" spans="1:6">
      <c r="A4" s="42" t="s">
        <v>355</v>
      </c>
      <c r="B4" s="42"/>
      <c r="C4" s="42"/>
      <c r="D4" s="42"/>
      <c r="E4" s="42"/>
      <c r="F4" s="42"/>
    </row>
    <row r="5" spans="1:6">
      <c r="A5" s="42" t="s">
        <v>356</v>
      </c>
      <c r="B5" s="42"/>
      <c r="C5" s="42"/>
      <c r="D5" s="42"/>
      <c r="E5" s="42"/>
      <c r="F5" s="42"/>
    </row>
    <row r="6" spans="1:6">
      <c r="A6" s="42" t="s">
        <v>357</v>
      </c>
      <c r="B6" s="42"/>
      <c r="C6" s="42"/>
      <c r="D6" s="42"/>
      <c r="E6" s="42"/>
      <c r="F6" s="42"/>
    </row>
    <row r="7" spans="1:6">
      <c r="A7" s="42" t="s">
        <v>358</v>
      </c>
      <c r="B7" s="42"/>
      <c r="C7" s="42"/>
      <c r="D7" s="42"/>
      <c r="E7" s="42"/>
      <c r="F7" s="42"/>
    </row>
    <row r="8" spans="1:6">
      <c r="A8" s="42"/>
      <c r="B8" s="42"/>
      <c r="C8" s="42"/>
      <c r="D8" s="42"/>
      <c r="E8" s="42"/>
      <c r="F8" s="42"/>
    </row>
    <row r="9" spans="1:6">
      <c r="A9" s="42" t="s">
        <v>359</v>
      </c>
      <c r="B9" s="42"/>
      <c r="C9" s="42"/>
      <c r="D9" s="42"/>
      <c r="E9" s="42"/>
      <c r="F9" s="42"/>
    </row>
    <row r="10" spans="1:6">
      <c r="A10" s="42" t="s">
        <v>360</v>
      </c>
      <c r="B10" s="42"/>
      <c r="C10" s="42"/>
      <c r="D10" s="42"/>
      <c r="E10" s="42"/>
      <c r="F10" s="42"/>
    </row>
    <row r="11" spans="1:6">
      <c r="A11" s="42" t="s">
        <v>361</v>
      </c>
      <c r="B11" s="42"/>
      <c r="C11" s="42"/>
      <c r="D11" s="42"/>
      <c r="E11" s="42"/>
      <c r="F11" s="42"/>
    </row>
    <row r="12" spans="1:6">
      <c r="A12" s="42" t="s">
        <v>362</v>
      </c>
      <c r="B12" s="42"/>
      <c r="C12" s="42"/>
      <c r="D12" s="42"/>
      <c r="E12" s="42"/>
      <c r="F12" s="42"/>
    </row>
    <row r="13" spans="1:6">
      <c r="A13" s="42"/>
      <c r="B13" s="42"/>
      <c r="C13" s="42"/>
      <c r="D13" s="42"/>
      <c r="E13" s="42"/>
      <c r="F13" s="42"/>
    </row>
    <row r="14" spans="1:6">
      <c r="A14" s="42" t="s">
        <v>363</v>
      </c>
      <c r="B14" s="42"/>
      <c r="C14" s="42"/>
      <c r="D14" s="42"/>
      <c r="E14" s="42"/>
      <c r="F14" s="42"/>
    </row>
    <row r="15" spans="1:6">
      <c r="A15" s="42" t="s">
        <v>364</v>
      </c>
      <c r="B15" s="42"/>
      <c r="C15" s="42"/>
      <c r="D15" s="42"/>
      <c r="E15" s="42"/>
      <c r="F15" s="42"/>
    </row>
    <row r="16" spans="1:6">
      <c r="A16" s="42" t="s">
        <v>365</v>
      </c>
      <c r="B16" s="42"/>
      <c r="C16" s="42"/>
      <c r="D16" s="42"/>
      <c r="E16" s="42"/>
      <c r="F16" s="42"/>
    </row>
    <row r="17" spans="1:6">
      <c r="A17" s="42"/>
      <c r="B17" s="42"/>
      <c r="C17" s="42"/>
      <c r="D17" s="42"/>
      <c r="E17" s="42"/>
      <c r="F17" s="42"/>
    </row>
    <row r="18" spans="1:6">
      <c r="A18" s="42" t="s">
        <v>366</v>
      </c>
      <c r="B18" s="42"/>
      <c r="C18" s="42"/>
      <c r="D18" s="42"/>
      <c r="E18" s="42"/>
      <c r="F18" s="42"/>
    </row>
    <row r="19" spans="1:6">
      <c r="A19" s="42" t="s">
        <v>367</v>
      </c>
      <c r="B19" s="42"/>
      <c r="C19" s="42"/>
      <c r="D19" s="42"/>
      <c r="E19" s="42"/>
      <c r="F19" s="42"/>
    </row>
    <row r="20" spans="1:6">
      <c r="A20" s="42" t="s">
        <v>368</v>
      </c>
      <c r="B20" s="42"/>
      <c r="C20" s="42"/>
      <c r="D20" s="42"/>
      <c r="E20" s="42"/>
      <c r="F20" s="42"/>
    </row>
    <row r="21" spans="1:6">
      <c r="A21" s="42" t="s">
        <v>369</v>
      </c>
      <c r="B21" s="42"/>
      <c r="C21" s="42"/>
      <c r="D21" s="42"/>
      <c r="E21" s="42"/>
      <c r="F21" s="42"/>
    </row>
    <row r="22" spans="1:6">
      <c r="A22" s="42" t="s">
        <v>370</v>
      </c>
      <c r="B22" s="42"/>
      <c r="C22" s="42"/>
      <c r="D22" s="42"/>
      <c r="E22" s="42"/>
      <c r="F22" s="42"/>
    </row>
    <row r="23" spans="1:6">
      <c r="A23" s="42"/>
      <c r="B23" s="42"/>
      <c r="C23" s="42"/>
      <c r="D23" s="42"/>
      <c r="E23" s="42"/>
      <c r="F23" s="42"/>
    </row>
    <row r="24" spans="1:6">
      <c r="A24" s="42" t="s">
        <v>371</v>
      </c>
      <c r="B24" s="42"/>
      <c r="C24" s="42"/>
      <c r="D24" s="42"/>
      <c r="E24" s="42"/>
      <c r="F24" s="42"/>
    </row>
    <row r="25" spans="1:6">
      <c r="A25" s="42" t="s">
        <v>372</v>
      </c>
      <c r="B25" s="42"/>
      <c r="C25" s="42"/>
      <c r="D25" s="42"/>
      <c r="E25" s="42"/>
      <c r="F25" s="42"/>
    </row>
    <row r="26" spans="1:6">
      <c r="A26" s="42" t="s">
        <v>373</v>
      </c>
      <c r="B26" s="42"/>
      <c r="C26" s="42"/>
      <c r="D26" s="42"/>
      <c r="E26" s="42"/>
      <c r="F26" s="42"/>
    </row>
    <row r="27" spans="1:6">
      <c r="A27" s="42"/>
      <c r="B27" s="42"/>
      <c r="C27" s="42"/>
      <c r="D27" s="42"/>
      <c r="E27" s="42"/>
      <c r="F27" s="42"/>
    </row>
    <row r="28" spans="1:6">
      <c r="A28" s="42" t="s">
        <v>374</v>
      </c>
      <c r="B28" s="42"/>
      <c r="C28" s="42"/>
      <c r="D28" s="42"/>
      <c r="E28" s="42"/>
      <c r="F28" s="42"/>
    </row>
    <row r="29" spans="1:6">
      <c r="A29" s="42" t="s">
        <v>375</v>
      </c>
      <c r="B29" s="42"/>
      <c r="C29" s="42"/>
      <c r="D29" s="42"/>
      <c r="E29" s="42"/>
      <c r="F29" s="42"/>
    </row>
    <row r="30" spans="1:6">
      <c r="A30" s="42" t="s">
        <v>376</v>
      </c>
      <c r="B30" s="42"/>
      <c r="C30" s="42"/>
      <c r="D30" s="42"/>
      <c r="E30" s="42"/>
      <c r="F30" s="42"/>
    </row>
    <row r="31" spans="1:6">
      <c r="A31" s="42" t="s">
        <v>377</v>
      </c>
      <c r="B31" s="42"/>
      <c r="C31" s="42"/>
      <c r="D31" s="42"/>
      <c r="E31" s="42"/>
      <c r="F31" s="42"/>
    </row>
    <row r="32" spans="1:6">
      <c r="A32" s="42" t="s">
        <v>378</v>
      </c>
      <c r="B32" s="42"/>
      <c r="C32" s="42"/>
      <c r="D32" s="42"/>
      <c r="E32" s="42"/>
      <c r="F32" s="42"/>
    </row>
    <row r="33" spans="1:6">
      <c r="A33" s="42"/>
      <c r="B33" s="42"/>
      <c r="C33" s="42"/>
      <c r="D33" s="42"/>
      <c r="E33" s="42"/>
      <c r="F33" s="42"/>
    </row>
    <row r="34" spans="1:6">
      <c r="A34" s="42" t="s">
        <v>379</v>
      </c>
      <c r="B34" s="42"/>
      <c r="C34" s="42"/>
      <c r="D34" s="42"/>
      <c r="E34" s="42"/>
      <c r="F34" s="42"/>
    </row>
    <row r="35" spans="1:6">
      <c r="A35" s="42" t="s">
        <v>380</v>
      </c>
      <c r="B35" s="42"/>
      <c r="C35" s="42"/>
      <c r="D35" s="42"/>
      <c r="E35" s="42"/>
      <c r="F35" s="42"/>
    </row>
    <row r="36" spans="1:6">
      <c r="A36" s="42" t="s">
        <v>381</v>
      </c>
      <c r="B36" s="42"/>
      <c r="C36" s="42"/>
      <c r="D36" s="42"/>
      <c r="E36" s="42"/>
      <c r="F36" s="42"/>
    </row>
    <row r="37" spans="1:6">
      <c r="A37" s="42"/>
      <c r="B37" s="42"/>
      <c r="C37" s="42"/>
      <c r="D37" s="42"/>
      <c r="E37" s="42"/>
      <c r="F37" s="4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5" defaultRowHeight="16"/>
  <cols>
    <col min="1" max="1" width="14" customWidth="1"/>
    <col min="2" max="2" width="26" customWidth="1"/>
    <col min="3" max="3" width="14" customWidth="1"/>
    <col min="4" max="4" width="10" customWidth="1"/>
    <col min="5" max="5" width="14" customWidth="1"/>
    <col min="6" max="6" width="26" customWidth="1"/>
    <col min="7" max="7" width="14" customWidth="1"/>
    <col min="8" max="8" width="10" customWidth="1"/>
    <col min="9" max="9" width="14" customWidth="1"/>
    <col min="10" max="10" width="6" customWidth="1"/>
    <col min="11" max="11" width="10" customWidth="1"/>
    <col min="12" max="12" width="14" customWidth="1"/>
    <col min="13" max="14" width="10" customWidth="1"/>
    <col min="15" max="15" width="14" customWidth="1"/>
    <col min="16" max="16" width="12" customWidth="1"/>
    <col min="17" max="17" width="18" customWidth="1"/>
    <col min="18" max="18" width="38" customWidth="1"/>
  </cols>
  <sheetData>
    <row r="1" spans="1:18" ht="31.5" customHeight="1">
      <c r="A1" s="43" t="s">
        <v>382</v>
      </c>
      <c r="B1" s="43" t="s">
        <v>383</v>
      </c>
      <c r="C1" s="43" t="s">
        <v>384</v>
      </c>
      <c r="D1" s="43" t="s">
        <v>385</v>
      </c>
      <c r="E1" s="43" t="s">
        <v>386</v>
      </c>
      <c r="F1" s="43" t="s">
        <v>387</v>
      </c>
      <c r="G1" s="43" t="s">
        <v>388</v>
      </c>
      <c r="H1" s="43" t="s">
        <v>389</v>
      </c>
      <c r="I1" s="43" t="s">
        <v>390</v>
      </c>
      <c r="J1" s="43" t="s">
        <v>391</v>
      </c>
      <c r="K1" s="43" t="s">
        <v>16</v>
      </c>
      <c r="L1" s="43" t="s">
        <v>392</v>
      </c>
      <c r="M1" s="43" t="s">
        <v>393</v>
      </c>
      <c r="N1" s="43" t="s">
        <v>348</v>
      </c>
      <c r="O1" s="43" t="s">
        <v>394</v>
      </c>
      <c r="P1" s="43" t="s">
        <v>395</v>
      </c>
      <c r="Q1" s="43" t="s">
        <v>396</v>
      </c>
      <c r="R1" s="43" t="s">
        <v>397</v>
      </c>
    </row>
    <row r="2" spans="1:18">
      <c r="A2" s="35" t="s">
        <v>398</v>
      </c>
      <c r="B2" s="35" t="s">
        <v>399</v>
      </c>
      <c r="C2" s="35" t="s">
        <v>152</v>
      </c>
      <c r="D2" s="35" t="s">
        <v>196</v>
      </c>
      <c r="E2" s="35" t="s">
        <v>215</v>
      </c>
      <c r="F2" s="35" t="s">
        <v>400</v>
      </c>
      <c r="G2" s="35" t="s">
        <v>98</v>
      </c>
      <c r="H2" s="35" t="s">
        <v>196</v>
      </c>
      <c r="I2" s="35" t="s">
        <v>215</v>
      </c>
      <c r="J2" s="35">
        <v>1891</v>
      </c>
      <c r="K2" s="35" t="s">
        <v>151</v>
      </c>
      <c r="L2" s="35">
        <v>100</v>
      </c>
      <c r="M2" s="35" t="s">
        <v>401</v>
      </c>
      <c r="N2" s="35" t="s">
        <v>402</v>
      </c>
      <c r="O2" s="35" t="s">
        <v>164</v>
      </c>
      <c r="P2" s="35">
        <v>1</v>
      </c>
      <c r="Q2" s="35" t="s">
        <v>403</v>
      </c>
      <c r="R2" s="35" t="s">
        <v>404</v>
      </c>
    </row>
    <row r="3" spans="1:18">
      <c r="A3" s="36" t="s">
        <v>405</v>
      </c>
      <c r="B3" s="36" t="s">
        <v>406</v>
      </c>
      <c r="C3" s="36" t="s">
        <v>96</v>
      </c>
      <c r="D3" s="36" t="s">
        <v>90</v>
      </c>
      <c r="E3" s="36" t="s">
        <v>130</v>
      </c>
      <c r="F3" s="36" t="s">
        <v>407</v>
      </c>
      <c r="G3" s="36" t="s">
        <v>121</v>
      </c>
      <c r="H3" s="36" t="s">
        <v>90</v>
      </c>
      <c r="I3" s="36" t="s">
        <v>130</v>
      </c>
      <c r="J3" s="36">
        <v>1880</v>
      </c>
      <c r="K3" s="36" t="s">
        <v>151</v>
      </c>
      <c r="L3" s="36">
        <v>500</v>
      </c>
      <c r="M3" s="36" t="s">
        <v>402</v>
      </c>
      <c r="N3" s="36" t="s">
        <v>402</v>
      </c>
      <c r="O3" s="36" t="s">
        <v>126</v>
      </c>
      <c r="P3" s="36">
        <v>5</v>
      </c>
      <c r="Q3" s="36" t="s">
        <v>408</v>
      </c>
      <c r="R3" s="36" t="s">
        <v>404</v>
      </c>
    </row>
    <row r="4" spans="1:18">
      <c r="A4" s="35" t="s">
        <v>409</v>
      </c>
      <c r="B4" s="35" t="s">
        <v>410</v>
      </c>
      <c r="C4" s="35" t="s">
        <v>120</v>
      </c>
      <c r="D4" s="35" t="s">
        <v>196</v>
      </c>
      <c r="E4" s="35" t="s">
        <v>218</v>
      </c>
      <c r="F4" s="35" t="s">
        <v>411</v>
      </c>
      <c r="G4" s="35" t="s">
        <v>121</v>
      </c>
      <c r="H4" s="35" t="s">
        <v>196</v>
      </c>
      <c r="I4" s="35" t="s">
        <v>218</v>
      </c>
      <c r="J4" s="35">
        <v>1862</v>
      </c>
      <c r="K4" s="35" t="s">
        <v>151</v>
      </c>
      <c r="L4" s="35">
        <v>75</v>
      </c>
      <c r="M4" s="35" t="s">
        <v>402</v>
      </c>
      <c r="N4" s="35" t="s">
        <v>402</v>
      </c>
      <c r="O4" s="35" t="s">
        <v>164</v>
      </c>
      <c r="P4" s="35">
        <v>0.8</v>
      </c>
      <c r="Q4" s="35" t="s">
        <v>408</v>
      </c>
      <c r="R4" s="35" t="s">
        <v>404</v>
      </c>
    </row>
    <row r="5" spans="1:18">
      <c r="A5" s="36" t="s">
        <v>412</v>
      </c>
      <c r="B5" s="36" t="s">
        <v>406</v>
      </c>
      <c r="C5" s="36" t="s">
        <v>96</v>
      </c>
      <c r="D5" s="36" t="s">
        <v>90</v>
      </c>
      <c r="E5" s="36" t="s">
        <v>130</v>
      </c>
      <c r="F5" s="36" t="s">
        <v>413</v>
      </c>
      <c r="G5" s="36" t="s">
        <v>98</v>
      </c>
      <c r="H5" s="36" t="s">
        <v>90</v>
      </c>
      <c r="I5" s="36" t="s">
        <v>130</v>
      </c>
      <c r="J5" s="36">
        <v>1905</v>
      </c>
      <c r="K5" s="36" t="s">
        <v>94</v>
      </c>
      <c r="L5" s="36">
        <v>50</v>
      </c>
      <c r="M5" s="36" t="s">
        <v>401</v>
      </c>
      <c r="N5" s="36" t="s">
        <v>402</v>
      </c>
      <c r="O5" s="36" t="s">
        <v>164</v>
      </c>
      <c r="P5" s="36">
        <v>0.5</v>
      </c>
      <c r="Q5" s="36" t="s">
        <v>408</v>
      </c>
      <c r="R5" s="36" t="s">
        <v>404</v>
      </c>
    </row>
    <row r="6" spans="1:18">
      <c r="A6" s="35" t="s">
        <v>414</v>
      </c>
      <c r="B6" s="35" t="s">
        <v>415</v>
      </c>
      <c r="C6" s="35" t="s">
        <v>96</v>
      </c>
      <c r="D6" s="35" t="s">
        <v>196</v>
      </c>
      <c r="E6" s="35" t="s">
        <v>197</v>
      </c>
      <c r="F6" s="35" t="s">
        <v>416</v>
      </c>
      <c r="G6" s="35" t="s">
        <v>121</v>
      </c>
      <c r="H6" s="35" t="s">
        <v>196</v>
      </c>
      <c r="I6" s="35" t="s">
        <v>197</v>
      </c>
      <c r="J6" s="35">
        <v>1861</v>
      </c>
      <c r="K6" s="35" t="s">
        <v>151</v>
      </c>
      <c r="L6" s="35">
        <v>75</v>
      </c>
      <c r="M6" s="35" t="s">
        <v>401</v>
      </c>
      <c r="N6" s="35" t="s">
        <v>402</v>
      </c>
      <c r="O6" s="35" t="s">
        <v>164</v>
      </c>
      <c r="P6" s="35">
        <v>0.8</v>
      </c>
      <c r="Q6" s="35" t="s">
        <v>408</v>
      </c>
      <c r="R6" s="35" t="s">
        <v>404</v>
      </c>
    </row>
    <row r="7" spans="1:18">
      <c r="A7" s="36" t="s">
        <v>417</v>
      </c>
      <c r="B7" s="36" t="s">
        <v>418</v>
      </c>
      <c r="C7" s="36" t="s">
        <v>120</v>
      </c>
      <c r="D7" s="36" t="s">
        <v>196</v>
      </c>
      <c r="E7" s="36" t="s">
        <v>204</v>
      </c>
      <c r="F7" s="36" t="s">
        <v>419</v>
      </c>
      <c r="G7" s="36" t="s">
        <v>132</v>
      </c>
      <c r="H7" s="36" t="s">
        <v>196</v>
      </c>
      <c r="I7" s="36" t="s">
        <v>204</v>
      </c>
      <c r="J7" s="36">
        <v>1865</v>
      </c>
      <c r="K7" s="36" t="s">
        <v>94</v>
      </c>
      <c r="L7" s="36">
        <v>300</v>
      </c>
      <c r="M7" s="36" t="s">
        <v>401</v>
      </c>
      <c r="N7" s="36" t="s">
        <v>402</v>
      </c>
      <c r="O7" s="36" t="s">
        <v>126</v>
      </c>
      <c r="P7" s="36">
        <v>3</v>
      </c>
      <c r="Q7" s="36" t="s">
        <v>403</v>
      </c>
      <c r="R7" s="36" t="s">
        <v>404</v>
      </c>
    </row>
    <row r="8" spans="1:18">
      <c r="A8" s="35" t="s">
        <v>420</v>
      </c>
      <c r="B8" s="35" t="s">
        <v>410</v>
      </c>
      <c r="C8" s="35" t="s">
        <v>120</v>
      </c>
      <c r="D8" s="35" t="s">
        <v>196</v>
      </c>
      <c r="E8" s="35" t="s">
        <v>218</v>
      </c>
      <c r="F8" s="35" t="s">
        <v>421</v>
      </c>
      <c r="G8" s="35" t="s">
        <v>98</v>
      </c>
      <c r="H8" s="35" t="s">
        <v>196</v>
      </c>
      <c r="I8" s="35" t="s">
        <v>218</v>
      </c>
      <c r="J8" s="35">
        <v>1909</v>
      </c>
      <c r="K8" s="35" t="s">
        <v>94</v>
      </c>
      <c r="L8" s="35">
        <v>750</v>
      </c>
      <c r="M8" s="35" t="s">
        <v>401</v>
      </c>
      <c r="N8" s="35" t="s">
        <v>402</v>
      </c>
      <c r="O8" s="35" t="s">
        <v>164</v>
      </c>
      <c r="P8" s="35">
        <v>7.5</v>
      </c>
      <c r="Q8" s="35" t="s">
        <v>408</v>
      </c>
      <c r="R8" s="35" t="s">
        <v>404</v>
      </c>
    </row>
    <row r="9" spans="1:18">
      <c r="A9" s="36" t="s">
        <v>422</v>
      </c>
      <c r="B9" s="36" t="s">
        <v>399</v>
      </c>
      <c r="C9" s="36" t="s">
        <v>152</v>
      </c>
      <c r="D9" s="36" t="s">
        <v>196</v>
      </c>
      <c r="E9" s="36" t="s">
        <v>215</v>
      </c>
      <c r="F9" s="36" t="s">
        <v>421</v>
      </c>
      <c r="G9" s="36" t="s">
        <v>98</v>
      </c>
      <c r="H9" s="36" t="s">
        <v>196</v>
      </c>
      <c r="I9" s="36" t="s">
        <v>215</v>
      </c>
      <c r="J9" s="36">
        <v>1876</v>
      </c>
      <c r="K9" s="36" t="s">
        <v>94</v>
      </c>
      <c r="L9" s="36">
        <v>75</v>
      </c>
      <c r="M9" s="36" t="s">
        <v>401</v>
      </c>
      <c r="N9" s="36" t="s">
        <v>402</v>
      </c>
      <c r="O9" s="36" t="s">
        <v>126</v>
      </c>
      <c r="P9" s="36">
        <v>0.8</v>
      </c>
      <c r="Q9" s="36" t="s">
        <v>408</v>
      </c>
      <c r="R9" s="36" t="s">
        <v>404</v>
      </c>
    </row>
    <row r="10" spans="1:18">
      <c r="A10" s="35" t="s">
        <v>423</v>
      </c>
      <c r="B10" s="35" t="s">
        <v>424</v>
      </c>
      <c r="C10" s="35" t="s">
        <v>163</v>
      </c>
      <c r="D10" s="35" t="s">
        <v>90</v>
      </c>
      <c r="E10" s="35" t="s">
        <v>166</v>
      </c>
      <c r="F10" s="35" t="s">
        <v>407</v>
      </c>
      <c r="G10" s="35" t="s">
        <v>121</v>
      </c>
      <c r="H10" s="35" t="s">
        <v>90</v>
      </c>
      <c r="I10" s="35" t="s">
        <v>166</v>
      </c>
      <c r="J10" s="35">
        <v>1878</v>
      </c>
      <c r="K10" s="35" t="s">
        <v>118</v>
      </c>
      <c r="L10" s="35">
        <v>150</v>
      </c>
      <c r="M10" s="35" t="s">
        <v>401</v>
      </c>
      <c r="N10" s="35" t="s">
        <v>401</v>
      </c>
      <c r="O10" s="35" t="s">
        <v>108</v>
      </c>
      <c r="P10" s="35">
        <v>1.5</v>
      </c>
      <c r="Q10" s="35" t="s">
        <v>408</v>
      </c>
      <c r="R10" s="35" t="s">
        <v>404</v>
      </c>
    </row>
    <row r="11" spans="1:18">
      <c r="A11" s="36" t="s">
        <v>425</v>
      </c>
      <c r="B11" s="36" t="s">
        <v>426</v>
      </c>
      <c r="C11" s="36" t="s">
        <v>120</v>
      </c>
      <c r="D11" s="36" t="s">
        <v>90</v>
      </c>
      <c r="E11" s="36" t="s">
        <v>156</v>
      </c>
      <c r="F11" s="36" t="s">
        <v>427</v>
      </c>
      <c r="G11" s="36" t="s">
        <v>132</v>
      </c>
      <c r="H11" s="36" t="s">
        <v>90</v>
      </c>
      <c r="I11" s="36" t="s">
        <v>156</v>
      </c>
      <c r="J11" s="36">
        <v>1902</v>
      </c>
      <c r="K11" s="36" t="s">
        <v>118</v>
      </c>
      <c r="L11" s="36">
        <v>500</v>
      </c>
      <c r="M11" s="36" t="s">
        <v>401</v>
      </c>
      <c r="N11" s="36" t="s">
        <v>401</v>
      </c>
      <c r="O11" s="36" t="s">
        <v>164</v>
      </c>
      <c r="P11" s="36">
        <v>5</v>
      </c>
      <c r="Q11" s="36" t="s">
        <v>408</v>
      </c>
      <c r="R11" s="36" t="s">
        <v>404</v>
      </c>
    </row>
    <row r="12" spans="1:18">
      <c r="A12" s="35" t="s">
        <v>428</v>
      </c>
      <c r="B12" s="35" t="s">
        <v>424</v>
      </c>
      <c r="C12" s="35" t="s">
        <v>163</v>
      </c>
      <c r="D12" s="35" t="s">
        <v>90</v>
      </c>
      <c r="E12" s="35" t="s">
        <v>166</v>
      </c>
      <c r="F12" s="35" t="s">
        <v>429</v>
      </c>
      <c r="G12" s="35" t="s">
        <v>132</v>
      </c>
      <c r="H12" s="35" t="s">
        <v>90</v>
      </c>
      <c r="I12" s="35" t="s">
        <v>166</v>
      </c>
      <c r="J12" s="35">
        <v>1900</v>
      </c>
      <c r="K12" s="35" t="s">
        <v>94</v>
      </c>
      <c r="L12" s="35">
        <v>100</v>
      </c>
      <c r="M12" s="35" t="s">
        <v>401</v>
      </c>
      <c r="N12" s="35" t="s">
        <v>402</v>
      </c>
      <c r="O12" s="35" t="s">
        <v>126</v>
      </c>
      <c r="P12" s="35">
        <v>1</v>
      </c>
      <c r="Q12" s="35" t="s">
        <v>403</v>
      </c>
      <c r="R12" s="35" t="s">
        <v>404</v>
      </c>
    </row>
    <row r="13" spans="1:18">
      <c r="A13" s="36" t="s">
        <v>430</v>
      </c>
      <c r="B13" s="36" t="s">
        <v>424</v>
      </c>
      <c r="C13" s="36" t="s">
        <v>163</v>
      </c>
      <c r="D13" s="36" t="s">
        <v>90</v>
      </c>
      <c r="E13" s="36" t="s">
        <v>166</v>
      </c>
      <c r="F13" s="36" t="s">
        <v>431</v>
      </c>
      <c r="G13" s="36" t="s">
        <v>158</v>
      </c>
      <c r="H13" s="36" t="s">
        <v>90</v>
      </c>
      <c r="I13" s="36" t="s">
        <v>166</v>
      </c>
      <c r="J13" s="36">
        <v>1925</v>
      </c>
      <c r="K13" s="36" t="s">
        <v>118</v>
      </c>
      <c r="L13" s="36">
        <v>750</v>
      </c>
      <c r="M13" s="36" t="s">
        <v>401</v>
      </c>
      <c r="N13" s="36" t="s">
        <v>402</v>
      </c>
      <c r="O13" s="36" t="s">
        <v>126</v>
      </c>
      <c r="P13" s="36">
        <v>7.5</v>
      </c>
      <c r="Q13" s="36" t="s">
        <v>408</v>
      </c>
      <c r="R13" s="36" t="s">
        <v>404</v>
      </c>
    </row>
    <row r="14" spans="1:18">
      <c r="A14" s="35" t="s">
        <v>432</v>
      </c>
      <c r="B14" s="35" t="s">
        <v>424</v>
      </c>
      <c r="C14" s="35" t="s">
        <v>163</v>
      </c>
      <c r="D14" s="35" t="s">
        <v>90</v>
      </c>
      <c r="E14" s="35" t="s">
        <v>166</v>
      </c>
      <c r="F14" s="35" t="s">
        <v>419</v>
      </c>
      <c r="G14" s="35" t="s">
        <v>132</v>
      </c>
      <c r="H14" s="35" t="s">
        <v>90</v>
      </c>
      <c r="I14" s="35" t="s">
        <v>166</v>
      </c>
      <c r="J14" s="35">
        <v>1874</v>
      </c>
      <c r="K14" s="35" t="s">
        <v>94</v>
      </c>
      <c r="L14" s="35">
        <v>300</v>
      </c>
      <c r="M14" s="35" t="s">
        <v>401</v>
      </c>
      <c r="N14" s="35" t="s">
        <v>402</v>
      </c>
      <c r="O14" s="35" t="s">
        <v>164</v>
      </c>
      <c r="P14" s="35">
        <v>3</v>
      </c>
      <c r="Q14" s="35" t="s">
        <v>408</v>
      </c>
      <c r="R14" s="35" t="s">
        <v>404</v>
      </c>
    </row>
    <row r="15" spans="1:18">
      <c r="A15" s="36" t="s">
        <v>433</v>
      </c>
      <c r="B15" s="36" t="s">
        <v>426</v>
      </c>
      <c r="C15" s="36" t="s">
        <v>120</v>
      </c>
      <c r="D15" s="36" t="s">
        <v>90</v>
      </c>
      <c r="E15" s="36" t="s">
        <v>156</v>
      </c>
      <c r="F15" s="36" t="s">
        <v>434</v>
      </c>
      <c r="G15" s="36" t="s">
        <v>132</v>
      </c>
      <c r="H15" s="36" t="s">
        <v>90</v>
      </c>
      <c r="I15" s="36" t="s">
        <v>156</v>
      </c>
      <c r="J15" s="36">
        <v>1920</v>
      </c>
      <c r="K15" s="36" t="s">
        <v>94</v>
      </c>
      <c r="L15" s="36">
        <v>200</v>
      </c>
      <c r="M15" s="36" t="s">
        <v>402</v>
      </c>
      <c r="N15" s="36" t="s">
        <v>402</v>
      </c>
      <c r="O15" s="36" t="s">
        <v>164</v>
      </c>
      <c r="P15" s="36">
        <v>2</v>
      </c>
      <c r="Q15" s="36" t="s">
        <v>408</v>
      </c>
      <c r="R15" s="36" t="s">
        <v>404</v>
      </c>
    </row>
    <row r="16" spans="1:18">
      <c r="A16" s="35" t="s">
        <v>435</v>
      </c>
      <c r="B16" s="35" t="s">
        <v>406</v>
      </c>
      <c r="C16" s="35" t="s">
        <v>96</v>
      </c>
      <c r="D16" s="35" t="s">
        <v>90</v>
      </c>
      <c r="E16" s="35" t="s">
        <v>130</v>
      </c>
      <c r="F16" s="35" t="s">
        <v>436</v>
      </c>
      <c r="G16" s="35" t="s">
        <v>98</v>
      </c>
      <c r="H16" s="35" t="s">
        <v>90</v>
      </c>
      <c r="I16" s="35" t="s">
        <v>130</v>
      </c>
      <c r="J16" s="35">
        <v>1866</v>
      </c>
      <c r="K16" s="35" t="s">
        <v>94</v>
      </c>
      <c r="L16" s="35">
        <v>1000</v>
      </c>
      <c r="M16" s="35" t="s">
        <v>401</v>
      </c>
      <c r="N16" s="35" t="s">
        <v>402</v>
      </c>
      <c r="O16" s="35" t="s">
        <v>164</v>
      </c>
      <c r="P16" s="35">
        <v>10</v>
      </c>
      <c r="Q16" s="35" t="s">
        <v>408</v>
      </c>
      <c r="R16" s="35" t="s">
        <v>404</v>
      </c>
    </row>
    <row r="17" spans="1:18">
      <c r="A17" s="36" t="s">
        <v>437</v>
      </c>
      <c r="B17" s="36" t="s">
        <v>418</v>
      </c>
      <c r="C17" s="36" t="s">
        <v>120</v>
      </c>
      <c r="D17" s="36" t="s">
        <v>196</v>
      </c>
      <c r="E17" s="36" t="s">
        <v>204</v>
      </c>
      <c r="F17" s="36" t="s">
        <v>427</v>
      </c>
      <c r="G17" s="36" t="s">
        <v>132</v>
      </c>
      <c r="H17" s="36" t="s">
        <v>196</v>
      </c>
      <c r="I17" s="36" t="s">
        <v>204</v>
      </c>
      <c r="J17" s="36">
        <v>1891</v>
      </c>
      <c r="K17" s="36" t="s">
        <v>118</v>
      </c>
      <c r="L17" s="36">
        <v>50</v>
      </c>
      <c r="M17" s="36" t="s">
        <v>401</v>
      </c>
      <c r="N17" s="36" t="s">
        <v>402</v>
      </c>
      <c r="O17" s="36" t="s">
        <v>108</v>
      </c>
      <c r="P17" s="36">
        <v>0.5</v>
      </c>
      <c r="Q17" s="36" t="s">
        <v>403</v>
      </c>
      <c r="R17" s="36" t="s">
        <v>404</v>
      </c>
    </row>
    <row r="18" spans="1:18">
      <c r="A18" s="35" t="s">
        <v>438</v>
      </c>
      <c r="B18" s="35" t="s">
        <v>415</v>
      </c>
      <c r="C18" s="35" t="s">
        <v>96</v>
      </c>
      <c r="D18" s="35" t="s">
        <v>196</v>
      </c>
      <c r="E18" s="35" t="s">
        <v>197</v>
      </c>
      <c r="F18" s="35" t="s">
        <v>419</v>
      </c>
      <c r="G18" s="35" t="s">
        <v>132</v>
      </c>
      <c r="H18" s="35" t="s">
        <v>196</v>
      </c>
      <c r="I18" s="35" t="s">
        <v>197</v>
      </c>
      <c r="J18" s="35">
        <v>1913</v>
      </c>
      <c r="K18" s="35" t="s">
        <v>94</v>
      </c>
      <c r="L18" s="35">
        <v>100</v>
      </c>
      <c r="M18" s="35" t="s">
        <v>401</v>
      </c>
      <c r="N18" s="35" t="s">
        <v>401</v>
      </c>
      <c r="O18" s="35" t="s">
        <v>164</v>
      </c>
      <c r="P18" s="35">
        <v>1</v>
      </c>
      <c r="Q18" s="35" t="s">
        <v>408</v>
      </c>
      <c r="R18" s="35" t="s">
        <v>404</v>
      </c>
    </row>
    <row r="19" spans="1:18">
      <c r="A19" s="36" t="s">
        <v>439</v>
      </c>
      <c r="B19" s="36" t="s">
        <v>415</v>
      </c>
      <c r="C19" s="36" t="s">
        <v>96</v>
      </c>
      <c r="D19" s="36" t="s">
        <v>196</v>
      </c>
      <c r="E19" s="36" t="s">
        <v>197</v>
      </c>
      <c r="F19" s="36" t="s">
        <v>440</v>
      </c>
      <c r="G19" s="36" t="s">
        <v>98</v>
      </c>
      <c r="H19" s="36" t="s">
        <v>196</v>
      </c>
      <c r="I19" s="36" t="s">
        <v>197</v>
      </c>
      <c r="J19" s="36">
        <v>1867</v>
      </c>
      <c r="K19" s="36" t="s">
        <v>94</v>
      </c>
      <c r="L19" s="36">
        <v>2000</v>
      </c>
      <c r="M19" s="36" t="s">
        <v>401</v>
      </c>
      <c r="N19" s="36" t="s">
        <v>401</v>
      </c>
      <c r="O19" s="36" t="s">
        <v>126</v>
      </c>
      <c r="P19" s="36">
        <v>20</v>
      </c>
      <c r="Q19" s="36" t="s">
        <v>408</v>
      </c>
      <c r="R19" s="36" t="s">
        <v>404</v>
      </c>
    </row>
    <row r="20" spans="1:18">
      <c r="A20" s="35" t="s">
        <v>441</v>
      </c>
      <c r="B20" s="35" t="s">
        <v>415</v>
      </c>
      <c r="C20" s="35" t="s">
        <v>96</v>
      </c>
      <c r="D20" s="35" t="s">
        <v>196</v>
      </c>
      <c r="E20" s="35" t="s">
        <v>197</v>
      </c>
      <c r="F20" s="35" t="s">
        <v>431</v>
      </c>
      <c r="G20" s="35" t="s">
        <v>158</v>
      </c>
      <c r="H20" s="35" t="s">
        <v>196</v>
      </c>
      <c r="I20" s="35" t="s">
        <v>197</v>
      </c>
      <c r="J20" s="35">
        <v>1908</v>
      </c>
      <c r="K20" s="35" t="s">
        <v>94</v>
      </c>
      <c r="L20" s="35">
        <v>250</v>
      </c>
      <c r="M20" s="35" t="s">
        <v>402</v>
      </c>
      <c r="N20" s="35" t="s">
        <v>402</v>
      </c>
      <c r="O20" s="35" t="s">
        <v>126</v>
      </c>
      <c r="P20" s="35">
        <v>2.5</v>
      </c>
      <c r="Q20" s="35" t="s">
        <v>408</v>
      </c>
      <c r="R20" s="35" t="s">
        <v>404</v>
      </c>
    </row>
    <row r="21" spans="1:18">
      <c r="A21" s="36" t="s">
        <v>442</v>
      </c>
      <c r="B21" s="36" t="s">
        <v>424</v>
      </c>
      <c r="C21" s="36" t="s">
        <v>163</v>
      </c>
      <c r="D21" s="36" t="s">
        <v>90</v>
      </c>
      <c r="E21" s="36" t="s">
        <v>166</v>
      </c>
      <c r="F21" s="36" t="s">
        <v>431</v>
      </c>
      <c r="G21" s="36" t="s">
        <v>158</v>
      </c>
      <c r="H21" s="36" t="s">
        <v>90</v>
      </c>
      <c r="I21" s="36" t="s">
        <v>166</v>
      </c>
      <c r="J21" s="36">
        <v>1905</v>
      </c>
      <c r="K21" s="36" t="s">
        <v>94</v>
      </c>
      <c r="L21" s="36">
        <v>1500</v>
      </c>
      <c r="M21" s="36" t="s">
        <v>401</v>
      </c>
      <c r="N21" s="36" t="s">
        <v>402</v>
      </c>
      <c r="O21" s="36" t="s">
        <v>164</v>
      </c>
      <c r="P21" s="36">
        <v>15</v>
      </c>
      <c r="Q21" s="36" t="s">
        <v>408</v>
      </c>
      <c r="R21" s="36" t="s">
        <v>404</v>
      </c>
    </row>
    <row r="22" spans="1:18">
      <c r="A22" s="35" t="s">
        <v>443</v>
      </c>
      <c r="B22" s="35" t="s">
        <v>410</v>
      </c>
      <c r="C22" s="35" t="s">
        <v>120</v>
      </c>
      <c r="D22" s="35" t="s">
        <v>196</v>
      </c>
      <c r="E22" s="35" t="s">
        <v>218</v>
      </c>
      <c r="F22" s="35" t="s">
        <v>434</v>
      </c>
      <c r="G22" s="35" t="s">
        <v>132</v>
      </c>
      <c r="H22" s="35" t="s">
        <v>196</v>
      </c>
      <c r="I22" s="35" t="s">
        <v>218</v>
      </c>
      <c r="J22" s="35">
        <v>1921</v>
      </c>
      <c r="K22" s="35" t="s">
        <v>94</v>
      </c>
      <c r="L22" s="35">
        <v>150</v>
      </c>
      <c r="M22" s="35" t="s">
        <v>402</v>
      </c>
      <c r="N22" s="35" t="s">
        <v>402</v>
      </c>
      <c r="O22" s="35" t="s">
        <v>126</v>
      </c>
      <c r="P22" s="35">
        <v>1.5</v>
      </c>
      <c r="Q22" s="35" t="s">
        <v>403</v>
      </c>
      <c r="R22" s="35" t="s">
        <v>404</v>
      </c>
    </row>
    <row r="23" spans="1:18">
      <c r="A23" s="36" t="s">
        <v>444</v>
      </c>
      <c r="B23" s="36" t="s">
        <v>410</v>
      </c>
      <c r="C23" s="36" t="s">
        <v>120</v>
      </c>
      <c r="D23" s="36" t="s">
        <v>196</v>
      </c>
      <c r="E23" s="36" t="s">
        <v>218</v>
      </c>
      <c r="F23" s="36" t="s">
        <v>413</v>
      </c>
      <c r="G23" s="36" t="s">
        <v>98</v>
      </c>
      <c r="H23" s="36" t="s">
        <v>196</v>
      </c>
      <c r="I23" s="36" t="s">
        <v>218</v>
      </c>
      <c r="J23" s="36">
        <v>1898</v>
      </c>
      <c r="K23" s="36" t="s">
        <v>151</v>
      </c>
      <c r="L23" s="36">
        <v>200</v>
      </c>
      <c r="M23" s="36" t="s">
        <v>401</v>
      </c>
      <c r="N23" s="36" t="s">
        <v>402</v>
      </c>
      <c r="O23" s="36" t="s">
        <v>126</v>
      </c>
      <c r="P23" s="36">
        <v>2</v>
      </c>
      <c r="Q23" s="36" t="s">
        <v>408</v>
      </c>
      <c r="R23" s="36" t="s">
        <v>404</v>
      </c>
    </row>
    <row r="24" spans="1:18">
      <c r="A24" s="35" t="s">
        <v>445</v>
      </c>
      <c r="B24" s="35" t="s">
        <v>415</v>
      </c>
      <c r="C24" s="35" t="s">
        <v>96</v>
      </c>
      <c r="D24" s="35" t="s">
        <v>196</v>
      </c>
      <c r="E24" s="35" t="s">
        <v>197</v>
      </c>
      <c r="F24" s="35" t="s">
        <v>419</v>
      </c>
      <c r="G24" s="35" t="s">
        <v>132</v>
      </c>
      <c r="H24" s="35" t="s">
        <v>196</v>
      </c>
      <c r="I24" s="35" t="s">
        <v>197</v>
      </c>
      <c r="J24" s="35">
        <v>1895</v>
      </c>
      <c r="K24" s="35" t="s">
        <v>151</v>
      </c>
      <c r="L24" s="35">
        <v>200</v>
      </c>
      <c r="M24" s="35" t="s">
        <v>401</v>
      </c>
      <c r="N24" s="35" t="s">
        <v>402</v>
      </c>
      <c r="O24" s="35" t="s">
        <v>126</v>
      </c>
      <c r="P24" s="35">
        <v>2</v>
      </c>
      <c r="Q24" s="35" t="s">
        <v>408</v>
      </c>
      <c r="R24" s="35" t="s">
        <v>404</v>
      </c>
    </row>
    <row r="25" spans="1:18">
      <c r="A25" s="36" t="s">
        <v>446</v>
      </c>
      <c r="B25" s="36" t="s">
        <v>424</v>
      </c>
      <c r="C25" s="36" t="s">
        <v>163</v>
      </c>
      <c r="D25" s="36" t="s">
        <v>90</v>
      </c>
      <c r="E25" s="36" t="s">
        <v>166</v>
      </c>
      <c r="F25" s="36" t="s">
        <v>407</v>
      </c>
      <c r="G25" s="36" t="s">
        <v>121</v>
      </c>
      <c r="H25" s="36" t="s">
        <v>90</v>
      </c>
      <c r="I25" s="36" t="s">
        <v>166</v>
      </c>
      <c r="J25" s="36">
        <v>1878</v>
      </c>
      <c r="K25" s="36" t="s">
        <v>151</v>
      </c>
      <c r="L25" s="36">
        <v>200</v>
      </c>
      <c r="M25" s="36" t="s">
        <v>401</v>
      </c>
      <c r="N25" s="36" t="s">
        <v>402</v>
      </c>
      <c r="O25" s="36" t="s">
        <v>108</v>
      </c>
      <c r="P25" s="36">
        <v>2</v>
      </c>
      <c r="Q25" s="36" t="s">
        <v>408</v>
      </c>
      <c r="R25" s="36" t="s">
        <v>404</v>
      </c>
    </row>
    <row r="26" spans="1:18">
      <c r="A26" s="35" t="s">
        <v>447</v>
      </c>
      <c r="B26" s="35" t="s">
        <v>415</v>
      </c>
      <c r="C26" s="35" t="s">
        <v>96</v>
      </c>
      <c r="D26" s="35" t="s">
        <v>196</v>
      </c>
      <c r="E26" s="35" t="s">
        <v>197</v>
      </c>
      <c r="F26" s="35" t="s">
        <v>448</v>
      </c>
      <c r="G26" s="35" t="s">
        <v>98</v>
      </c>
      <c r="H26" s="35" t="s">
        <v>196</v>
      </c>
      <c r="I26" s="35" t="s">
        <v>197</v>
      </c>
      <c r="J26" s="35">
        <v>1892</v>
      </c>
      <c r="K26" s="35" t="s">
        <v>151</v>
      </c>
      <c r="L26" s="35">
        <v>2000</v>
      </c>
      <c r="M26" s="35" t="s">
        <v>401</v>
      </c>
      <c r="N26" s="35" t="s">
        <v>401</v>
      </c>
      <c r="O26" s="35" t="s">
        <v>164</v>
      </c>
      <c r="P26" s="35">
        <v>20</v>
      </c>
      <c r="Q26" s="35" t="s">
        <v>408</v>
      </c>
      <c r="R26" s="35" t="s">
        <v>404</v>
      </c>
    </row>
    <row r="27" spans="1:18">
      <c r="A27" s="36" t="s">
        <v>449</v>
      </c>
      <c r="B27" s="36" t="s">
        <v>450</v>
      </c>
      <c r="C27" s="36" t="s">
        <v>152</v>
      </c>
      <c r="D27" s="36" t="s">
        <v>90</v>
      </c>
      <c r="E27" s="36" t="s">
        <v>139</v>
      </c>
      <c r="F27" s="36" t="s">
        <v>436</v>
      </c>
      <c r="G27" s="36" t="s">
        <v>98</v>
      </c>
      <c r="H27" s="36" t="s">
        <v>90</v>
      </c>
      <c r="I27" s="36" t="s">
        <v>139</v>
      </c>
      <c r="J27" s="36">
        <v>1894</v>
      </c>
      <c r="K27" s="36" t="s">
        <v>118</v>
      </c>
      <c r="L27" s="36">
        <v>100</v>
      </c>
      <c r="M27" s="36" t="s">
        <v>401</v>
      </c>
      <c r="N27" s="36" t="s">
        <v>402</v>
      </c>
      <c r="O27" s="36" t="s">
        <v>108</v>
      </c>
      <c r="P27" s="36">
        <v>1</v>
      </c>
      <c r="Q27" s="36" t="s">
        <v>403</v>
      </c>
      <c r="R27" s="36" t="s">
        <v>404</v>
      </c>
    </row>
    <row r="28" spans="1:18">
      <c r="A28" s="35" t="s">
        <v>451</v>
      </c>
      <c r="B28" s="35" t="s">
        <v>426</v>
      </c>
      <c r="C28" s="35" t="s">
        <v>120</v>
      </c>
      <c r="D28" s="35" t="s">
        <v>90</v>
      </c>
      <c r="E28" s="35" t="s">
        <v>156</v>
      </c>
      <c r="F28" s="35" t="s">
        <v>448</v>
      </c>
      <c r="G28" s="35" t="s">
        <v>98</v>
      </c>
      <c r="H28" s="35" t="s">
        <v>90</v>
      </c>
      <c r="I28" s="35" t="s">
        <v>156</v>
      </c>
      <c r="J28" s="35">
        <v>1888</v>
      </c>
      <c r="K28" s="35" t="s">
        <v>94</v>
      </c>
      <c r="L28" s="35">
        <v>1500</v>
      </c>
      <c r="M28" s="35" t="s">
        <v>401</v>
      </c>
      <c r="N28" s="35" t="s">
        <v>401</v>
      </c>
      <c r="O28" s="35" t="s">
        <v>126</v>
      </c>
      <c r="P28" s="35">
        <v>15</v>
      </c>
      <c r="Q28" s="35" t="s">
        <v>408</v>
      </c>
      <c r="R28" s="35" t="s">
        <v>404</v>
      </c>
    </row>
    <row r="29" spans="1:18">
      <c r="A29" s="36" t="s">
        <v>452</v>
      </c>
      <c r="B29" s="36" t="s">
        <v>415</v>
      </c>
      <c r="C29" s="36" t="s">
        <v>96</v>
      </c>
      <c r="D29" s="36" t="s">
        <v>196</v>
      </c>
      <c r="E29" s="36" t="s">
        <v>197</v>
      </c>
      <c r="F29" s="36" t="s">
        <v>421</v>
      </c>
      <c r="G29" s="36" t="s">
        <v>98</v>
      </c>
      <c r="H29" s="36" t="s">
        <v>196</v>
      </c>
      <c r="I29" s="36" t="s">
        <v>197</v>
      </c>
      <c r="J29" s="36">
        <v>1877</v>
      </c>
      <c r="K29" s="36" t="s">
        <v>151</v>
      </c>
      <c r="L29" s="36">
        <v>50</v>
      </c>
      <c r="M29" s="36" t="s">
        <v>402</v>
      </c>
      <c r="N29" s="36" t="s">
        <v>402</v>
      </c>
      <c r="O29" s="36" t="s">
        <v>108</v>
      </c>
      <c r="P29" s="36">
        <v>0.5</v>
      </c>
      <c r="Q29" s="36" t="s">
        <v>408</v>
      </c>
      <c r="R29" s="36" t="s">
        <v>404</v>
      </c>
    </row>
    <row r="30" spans="1:18">
      <c r="A30" s="35" t="s">
        <v>453</v>
      </c>
      <c r="B30" s="35" t="s">
        <v>415</v>
      </c>
      <c r="C30" s="35" t="s">
        <v>96</v>
      </c>
      <c r="D30" s="35" t="s">
        <v>196</v>
      </c>
      <c r="E30" s="35" t="s">
        <v>197</v>
      </c>
      <c r="F30" s="35" t="s">
        <v>411</v>
      </c>
      <c r="G30" s="35" t="s">
        <v>121</v>
      </c>
      <c r="H30" s="35" t="s">
        <v>196</v>
      </c>
      <c r="I30" s="35" t="s">
        <v>197</v>
      </c>
      <c r="J30" s="35">
        <v>1885</v>
      </c>
      <c r="K30" s="35" t="s">
        <v>94</v>
      </c>
      <c r="L30" s="35">
        <v>200</v>
      </c>
      <c r="M30" s="35" t="s">
        <v>401</v>
      </c>
      <c r="N30" s="35" t="s">
        <v>402</v>
      </c>
      <c r="O30" s="35" t="s">
        <v>108</v>
      </c>
      <c r="P30" s="35">
        <v>2</v>
      </c>
      <c r="Q30" s="35" t="s">
        <v>408</v>
      </c>
      <c r="R30" s="35" t="s">
        <v>404</v>
      </c>
    </row>
    <row r="31" spans="1:18">
      <c r="A31" s="36" t="s">
        <v>454</v>
      </c>
      <c r="B31" s="36" t="s">
        <v>399</v>
      </c>
      <c r="C31" s="36" t="s">
        <v>152</v>
      </c>
      <c r="D31" s="36" t="s">
        <v>196</v>
      </c>
      <c r="E31" s="36" t="s">
        <v>215</v>
      </c>
      <c r="F31" s="36" t="s">
        <v>413</v>
      </c>
      <c r="G31" s="36" t="s">
        <v>98</v>
      </c>
      <c r="H31" s="36" t="s">
        <v>196</v>
      </c>
      <c r="I31" s="36" t="s">
        <v>215</v>
      </c>
      <c r="J31" s="36">
        <v>1864</v>
      </c>
      <c r="K31" s="36" t="s">
        <v>151</v>
      </c>
      <c r="L31" s="36">
        <v>100</v>
      </c>
      <c r="M31" s="36" t="s">
        <v>401</v>
      </c>
      <c r="N31" s="36" t="s">
        <v>402</v>
      </c>
      <c r="O31" s="36" t="s">
        <v>108</v>
      </c>
      <c r="P31" s="36">
        <v>1</v>
      </c>
      <c r="Q31" s="36" t="s">
        <v>408</v>
      </c>
      <c r="R31" s="36" t="s">
        <v>404</v>
      </c>
    </row>
    <row r="32" spans="1:18">
      <c r="A32" s="35" t="s">
        <v>455</v>
      </c>
      <c r="B32" s="35" t="s">
        <v>415</v>
      </c>
      <c r="C32" s="35" t="s">
        <v>96</v>
      </c>
      <c r="D32" s="35" t="s">
        <v>196</v>
      </c>
      <c r="E32" s="35" t="s">
        <v>197</v>
      </c>
      <c r="F32" s="35" t="s">
        <v>427</v>
      </c>
      <c r="G32" s="35" t="s">
        <v>132</v>
      </c>
      <c r="H32" s="35" t="s">
        <v>196</v>
      </c>
      <c r="I32" s="35" t="s">
        <v>197</v>
      </c>
      <c r="J32" s="35">
        <v>1897</v>
      </c>
      <c r="K32" s="35" t="s">
        <v>151</v>
      </c>
      <c r="L32" s="35">
        <v>50</v>
      </c>
      <c r="M32" s="35" t="s">
        <v>401</v>
      </c>
      <c r="N32" s="35" t="s">
        <v>402</v>
      </c>
      <c r="O32" s="35" t="s">
        <v>108</v>
      </c>
      <c r="P32" s="35">
        <v>0.5</v>
      </c>
      <c r="Q32" s="35" t="s">
        <v>403</v>
      </c>
      <c r="R32" s="35" t="s">
        <v>404</v>
      </c>
    </row>
    <row r="33" spans="1:18">
      <c r="A33" s="36" t="s">
        <v>456</v>
      </c>
      <c r="B33" s="36" t="s">
        <v>410</v>
      </c>
      <c r="C33" s="36" t="s">
        <v>120</v>
      </c>
      <c r="D33" s="36" t="s">
        <v>196</v>
      </c>
      <c r="E33" s="36" t="s">
        <v>218</v>
      </c>
      <c r="F33" s="36" t="s">
        <v>411</v>
      </c>
      <c r="G33" s="36" t="s">
        <v>121</v>
      </c>
      <c r="H33" s="36" t="s">
        <v>196</v>
      </c>
      <c r="I33" s="36" t="s">
        <v>218</v>
      </c>
      <c r="J33" s="36">
        <v>1923</v>
      </c>
      <c r="K33" s="36" t="s">
        <v>151</v>
      </c>
      <c r="L33" s="36">
        <v>100</v>
      </c>
      <c r="M33" s="36" t="s">
        <v>402</v>
      </c>
      <c r="N33" s="36" t="s">
        <v>402</v>
      </c>
      <c r="O33" s="36" t="s">
        <v>126</v>
      </c>
      <c r="P33" s="36">
        <v>1</v>
      </c>
      <c r="Q33" s="36" t="s">
        <v>408</v>
      </c>
      <c r="R33" s="36" t="s">
        <v>404</v>
      </c>
    </row>
    <row r="34" spans="1:18">
      <c r="A34" s="35" t="s">
        <v>457</v>
      </c>
      <c r="B34" s="35" t="s">
        <v>406</v>
      </c>
      <c r="C34" s="35" t="s">
        <v>96</v>
      </c>
      <c r="D34" s="35" t="s">
        <v>90</v>
      </c>
      <c r="E34" s="35" t="s">
        <v>130</v>
      </c>
      <c r="F34" s="35" t="s">
        <v>407</v>
      </c>
      <c r="G34" s="35" t="s">
        <v>121</v>
      </c>
      <c r="H34" s="35" t="s">
        <v>90</v>
      </c>
      <c r="I34" s="35" t="s">
        <v>130</v>
      </c>
      <c r="J34" s="35">
        <v>1874</v>
      </c>
      <c r="K34" s="35" t="s">
        <v>94</v>
      </c>
      <c r="L34" s="35">
        <v>250</v>
      </c>
      <c r="M34" s="35" t="s">
        <v>401</v>
      </c>
      <c r="N34" s="35" t="s">
        <v>402</v>
      </c>
      <c r="O34" s="35" t="s">
        <v>126</v>
      </c>
      <c r="P34" s="35">
        <v>2.5</v>
      </c>
      <c r="Q34" s="35" t="s">
        <v>408</v>
      </c>
      <c r="R34" s="35" t="s">
        <v>404</v>
      </c>
    </row>
    <row r="35" spans="1:18">
      <c r="A35" s="36" t="s">
        <v>458</v>
      </c>
      <c r="B35" s="36" t="s">
        <v>459</v>
      </c>
      <c r="C35" s="36" t="s">
        <v>120</v>
      </c>
      <c r="D35" s="36" t="s">
        <v>196</v>
      </c>
      <c r="E35" s="36" t="s">
        <v>200</v>
      </c>
      <c r="F35" s="36" t="s">
        <v>460</v>
      </c>
      <c r="G35" s="36" t="s">
        <v>98</v>
      </c>
      <c r="H35" s="36" t="s">
        <v>196</v>
      </c>
      <c r="I35" s="36" t="s">
        <v>200</v>
      </c>
      <c r="J35" s="36">
        <v>1903</v>
      </c>
      <c r="K35" s="36" t="s">
        <v>94</v>
      </c>
      <c r="L35" s="36">
        <v>200</v>
      </c>
      <c r="M35" s="36" t="s">
        <v>401</v>
      </c>
      <c r="N35" s="36" t="s">
        <v>402</v>
      </c>
      <c r="O35" s="36" t="s">
        <v>108</v>
      </c>
      <c r="P35" s="36">
        <v>2</v>
      </c>
      <c r="Q35" s="36" t="s">
        <v>408</v>
      </c>
      <c r="R35" s="36" t="s">
        <v>404</v>
      </c>
    </row>
    <row r="36" spans="1:18">
      <c r="A36" s="35" t="s">
        <v>461</v>
      </c>
      <c r="B36" s="35" t="s">
        <v>418</v>
      </c>
      <c r="C36" s="35" t="s">
        <v>120</v>
      </c>
      <c r="D36" s="35" t="s">
        <v>196</v>
      </c>
      <c r="E36" s="35" t="s">
        <v>204</v>
      </c>
      <c r="F36" s="35" t="s">
        <v>440</v>
      </c>
      <c r="G36" s="35" t="s">
        <v>98</v>
      </c>
      <c r="H36" s="35" t="s">
        <v>196</v>
      </c>
      <c r="I36" s="35" t="s">
        <v>204</v>
      </c>
      <c r="J36" s="35">
        <v>1914</v>
      </c>
      <c r="K36" s="35" t="s">
        <v>118</v>
      </c>
      <c r="L36" s="35">
        <v>750</v>
      </c>
      <c r="M36" s="35" t="s">
        <v>401</v>
      </c>
      <c r="N36" s="35" t="s">
        <v>401</v>
      </c>
      <c r="O36" s="35" t="s">
        <v>108</v>
      </c>
      <c r="P36" s="35">
        <v>7.5</v>
      </c>
      <c r="Q36" s="35" t="s">
        <v>408</v>
      </c>
      <c r="R36" s="35" t="s">
        <v>404</v>
      </c>
    </row>
    <row r="37" spans="1:18">
      <c r="A37" s="36" t="s">
        <v>462</v>
      </c>
      <c r="B37" s="36" t="s">
        <v>459</v>
      </c>
      <c r="C37" s="36" t="s">
        <v>120</v>
      </c>
      <c r="D37" s="36" t="s">
        <v>196</v>
      </c>
      <c r="E37" s="36" t="s">
        <v>200</v>
      </c>
      <c r="F37" s="36" t="s">
        <v>411</v>
      </c>
      <c r="G37" s="36" t="s">
        <v>121</v>
      </c>
      <c r="H37" s="36" t="s">
        <v>196</v>
      </c>
      <c r="I37" s="36" t="s">
        <v>200</v>
      </c>
      <c r="J37" s="36">
        <v>1901</v>
      </c>
      <c r="K37" s="36" t="s">
        <v>151</v>
      </c>
      <c r="L37" s="36">
        <v>150</v>
      </c>
      <c r="M37" s="36" t="s">
        <v>401</v>
      </c>
      <c r="N37" s="36" t="s">
        <v>401</v>
      </c>
      <c r="O37" s="36" t="s">
        <v>126</v>
      </c>
      <c r="P37" s="36">
        <v>1.5</v>
      </c>
      <c r="Q37" s="36" t="s">
        <v>403</v>
      </c>
      <c r="R37" s="36" t="s">
        <v>404</v>
      </c>
    </row>
    <row r="38" spans="1:18">
      <c r="A38" s="35" t="s">
        <v>463</v>
      </c>
      <c r="B38" s="35" t="s">
        <v>424</v>
      </c>
      <c r="C38" s="35" t="s">
        <v>163</v>
      </c>
      <c r="D38" s="35" t="s">
        <v>90</v>
      </c>
      <c r="E38" s="35" t="s">
        <v>166</v>
      </c>
      <c r="F38" s="35" t="s">
        <v>416</v>
      </c>
      <c r="G38" s="35" t="s">
        <v>121</v>
      </c>
      <c r="H38" s="35" t="s">
        <v>90</v>
      </c>
      <c r="I38" s="35" t="s">
        <v>166</v>
      </c>
      <c r="J38" s="35">
        <v>1861</v>
      </c>
      <c r="K38" s="35" t="s">
        <v>94</v>
      </c>
      <c r="L38" s="35">
        <v>200</v>
      </c>
      <c r="M38" s="35" t="s">
        <v>401</v>
      </c>
      <c r="N38" s="35" t="s">
        <v>402</v>
      </c>
      <c r="O38" s="35" t="s">
        <v>108</v>
      </c>
      <c r="P38" s="35">
        <v>2</v>
      </c>
      <c r="Q38" s="35" t="s">
        <v>408</v>
      </c>
      <c r="R38" s="35" t="s">
        <v>404</v>
      </c>
    </row>
    <row r="39" spans="1:18">
      <c r="A39" s="36" t="s">
        <v>464</v>
      </c>
      <c r="B39" s="36" t="s">
        <v>465</v>
      </c>
      <c r="C39" s="36" t="s">
        <v>120</v>
      </c>
      <c r="D39" s="36" t="s">
        <v>90</v>
      </c>
      <c r="E39" s="36" t="s">
        <v>145</v>
      </c>
      <c r="F39" s="36" t="s">
        <v>411</v>
      </c>
      <c r="G39" s="36" t="s">
        <v>121</v>
      </c>
      <c r="H39" s="36" t="s">
        <v>90</v>
      </c>
      <c r="I39" s="36" t="s">
        <v>145</v>
      </c>
      <c r="J39" s="36">
        <v>1899</v>
      </c>
      <c r="K39" s="36" t="s">
        <v>151</v>
      </c>
      <c r="L39" s="36">
        <v>100</v>
      </c>
      <c r="M39" s="36" t="s">
        <v>401</v>
      </c>
      <c r="N39" s="36" t="s">
        <v>402</v>
      </c>
      <c r="O39" s="36" t="s">
        <v>164</v>
      </c>
      <c r="P39" s="36">
        <v>1</v>
      </c>
      <c r="Q39" s="36" t="s">
        <v>408</v>
      </c>
      <c r="R39" s="36" t="s">
        <v>404</v>
      </c>
    </row>
    <row r="40" spans="1:18">
      <c r="A40" s="35" t="s">
        <v>466</v>
      </c>
      <c r="B40" s="35" t="s">
        <v>465</v>
      </c>
      <c r="C40" s="35" t="s">
        <v>120</v>
      </c>
      <c r="D40" s="35" t="s">
        <v>90</v>
      </c>
      <c r="E40" s="35" t="s">
        <v>145</v>
      </c>
      <c r="F40" s="35" t="s">
        <v>448</v>
      </c>
      <c r="G40" s="35" t="s">
        <v>98</v>
      </c>
      <c r="H40" s="35" t="s">
        <v>90</v>
      </c>
      <c r="I40" s="35" t="s">
        <v>145</v>
      </c>
      <c r="J40" s="35">
        <v>1897</v>
      </c>
      <c r="K40" s="35" t="s">
        <v>151</v>
      </c>
      <c r="L40" s="35">
        <v>250</v>
      </c>
      <c r="M40" s="35" t="s">
        <v>401</v>
      </c>
      <c r="N40" s="35" t="s">
        <v>401</v>
      </c>
      <c r="O40" s="35" t="s">
        <v>108</v>
      </c>
      <c r="P40" s="35">
        <v>2.5</v>
      </c>
      <c r="Q40" s="35" t="s">
        <v>408</v>
      </c>
      <c r="R40" s="35" t="s">
        <v>404</v>
      </c>
    </row>
    <row r="41" spans="1:18">
      <c r="A41" s="36" t="s">
        <v>467</v>
      </c>
      <c r="B41" s="36" t="s">
        <v>459</v>
      </c>
      <c r="C41" s="36" t="s">
        <v>120</v>
      </c>
      <c r="D41" s="36" t="s">
        <v>196</v>
      </c>
      <c r="E41" s="36" t="s">
        <v>200</v>
      </c>
      <c r="F41" s="36" t="s">
        <v>411</v>
      </c>
      <c r="G41" s="36" t="s">
        <v>121</v>
      </c>
      <c r="H41" s="36" t="s">
        <v>196</v>
      </c>
      <c r="I41" s="36" t="s">
        <v>200</v>
      </c>
      <c r="J41" s="36">
        <v>1907</v>
      </c>
      <c r="K41" s="36" t="s">
        <v>94</v>
      </c>
      <c r="L41" s="36">
        <v>300</v>
      </c>
      <c r="M41" s="36" t="s">
        <v>401</v>
      </c>
      <c r="N41" s="36" t="s">
        <v>402</v>
      </c>
      <c r="O41" s="36" t="s">
        <v>164</v>
      </c>
      <c r="P41" s="36">
        <v>3</v>
      </c>
      <c r="Q41" s="36" t="s">
        <v>408</v>
      </c>
      <c r="R41" s="36" t="s">
        <v>404</v>
      </c>
    </row>
    <row r="42" spans="1:18">
      <c r="A42" s="35" t="s">
        <v>468</v>
      </c>
      <c r="B42" s="35" t="s">
        <v>406</v>
      </c>
      <c r="C42" s="35" t="s">
        <v>96</v>
      </c>
      <c r="D42" s="35" t="s">
        <v>90</v>
      </c>
      <c r="E42" s="35" t="s">
        <v>130</v>
      </c>
      <c r="F42" s="35" t="s">
        <v>407</v>
      </c>
      <c r="G42" s="35" t="s">
        <v>121</v>
      </c>
      <c r="H42" s="35" t="s">
        <v>90</v>
      </c>
      <c r="I42" s="35" t="s">
        <v>130</v>
      </c>
      <c r="J42" s="35">
        <v>1891</v>
      </c>
      <c r="K42" s="35" t="s">
        <v>94</v>
      </c>
      <c r="L42" s="35">
        <v>1500</v>
      </c>
      <c r="M42" s="35" t="s">
        <v>401</v>
      </c>
      <c r="N42" s="35" t="s">
        <v>402</v>
      </c>
      <c r="O42" s="35" t="s">
        <v>108</v>
      </c>
      <c r="P42" s="35">
        <v>15</v>
      </c>
      <c r="Q42" s="35" t="s">
        <v>403</v>
      </c>
      <c r="R42" s="35" t="s">
        <v>404</v>
      </c>
    </row>
    <row r="43" spans="1:18">
      <c r="A43" s="36" t="s">
        <v>469</v>
      </c>
      <c r="B43" s="36" t="s">
        <v>415</v>
      </c>
      <c r="C43" s="36" t="s">
        <v>96</v>
      </c>
      <c r="D43" s="36" t="s">
        <v>196</v>
      </c>
      <c r="E43" s="36" t="s">
        <v>197</v>
      </c>
      <c r="F43" s="36" t="s">
        <v>431</v>
      </c>
      <c r="G43" s="36" t="s">
        <v>158</v>
      </c>
      <c r="H43" s="36" t="s">
        <v>196</v>
      </c>
      <c r="I43" s="36" t="s">
        <v>197</v>
      </c>
      <c r="J43" s="36">
        <v>1906</v>
      </c>
      <c r="K43" s="36" t="s">
        <v>118</v>
      </c>
      <c r="L43" s="36">
        <v>75</v>
      </c>
      <c r="M43" s="36" t="s">
        <v>402</v>
      </c>
      <c r="N43" s="36" t="s">
        <v>402</v>
      </c>
      <c r="O43" s="36" t="s">
        <v>108</v>
      </c>
      <c r="P43" s="36">
        <v>0.8</v>
      </c>
      <c r="Q43" s="36" t="s">
        <v>408</v>
      </c>
      <c r="R43" s="36" t="s">
        <v>404</v>
      </c>
    </row>
    <row r="44" spans="1:18">
      <c r="A44" s="35" t="s">
        <v>470</v>
      </c>
      <c r="B44" s="35" t="s">
        <v>450</v>
      </c>
      <c r="C44" s="35" t="s">
        <v>152</v>
      </c>
      <c r="D44" s="35" t="s">
        <v>90</v>
      </c>
      <c r="E44" s="35" t="s">
        <v>139</v>
      </c>
      <c r="F44" s="35" t="s">
        <v>429</v>
      </c>
      <c r="G44" s="35" t="s">
        <v>132</v>
      </c>
      <c r="H44" s="35" t="s">
        <v>90</v>
      </c>
      <c r="I44" s="35" t="s">
        <v>139</v>
      </c>
      <c r="J44" s="35">
        <v>1924</v>
      </c>
      <c r="K44" s="35" t="s">
        <v>94</v>
      </c>
      <c r="L44" s="35">
        <v>150</v>
      </c>
      <c r="M44" s="35" t="s">
        <v>401</v>
      </c>
      <c r="N44" s="35" t="s">
        <v>401</v>
      </c>
      <c r="O44" s="35" t="s">
        <v>126</v>
      </c>
      <c r="P44" s="35">
        <v>1.5</v>
      </c>
      <c r="Q44" s="35" t="s">
        <v>408</v>
      </c>
      <c r="R44" s="35" t="s">
        <v>404</v>
      </c>
    </row>
    <row r="45" spans="1:18">
      <c r="A45" s="36" t="s">
        <v>471</v>
      </c>
      <c r="B45" s="36" t="s">
        <v>415</v>
      </c>
      <c r="C45" s="36" t="s">
        <v>96</v>
      </c>
      <c r="D45" s="36" t="s">
        <v>196</v>
      </c>
      <c r="E45" s="36" t="s">
        <v>197</v>
      </c>
      <c r="F45" s="36" t="s">
        <v>421</v>
      </c>
      <c r="G45" s="36" t="s">
        <v>98</v>
      </c>
      <c r="H45" s="36" t="s">
        <v>196</v>
      </c>
      <c r="I45" s="36" t="s">
        <v>197</v>
      </c>
      <c r="J45" s="36">
        <v>1886</v>
      </c>
      <c r="K45" s="36" t="s">
        <v>151</v>
      </c>
      <c r="L45" s="36">
        <v>2000</v>
      </c>
      <c r="M45" s="36" t="s">
        <v>401</v>
      </c>
      <c r="N45" s="36" t="s">
        <v>401</v>
      </c>
      <c r="O45" s="36" t="s">
        <v>164</v>
      </c>
      <c r="P45" s="36">
        <v>20</v>
      </c>
      <c r="Q45" s="36" t="s">
        <v>408</v>
      </c>
      <c r="R45" s="36" t="s">
        <v>404</v>
      </c>
    </row>
    <row r="46" spans="1:18">
      <c r="A46" s="35" t="s">
        <v>472</v>
      </c>
      <c r="B46" s="35" t="s">
        <v>426</v>
      </c>
      <c r="C46" s="35" t="s">
        <v>120</v>
      </c>
      <c r="D46" s="35" t="s">
        <v>90</v>
      </c>
      <c r="E46" s="35" t="s">
        <v>156</v>
      </c>
      <c r="F46" s="35" t="s">
        <v>411</v>
      </c>
      <c r="G46" s="35" t="s">
        <v>121</v>
      </c>
      <c r="H46" s="35" t="s">
        <v>90</v>
      </c>
      <c r="I46" s="35" t="s">
        <v>156</v>
      </c>
      <c r="J46" s="35">
        <v>1876</v>
      </c>
      <c r="K46" s="35" t="s">
        <v>151</v>
      </c>
      <c r="L46" s="35">
        <v>750</v>
      </c>
      <c r="M46" s="35" t="s">
        <v>401</v>
      </c>
      <c r="N46" s="35" t="s">
        <v>402</v>
      </c>
      <c r="O46" s="35" t="s">
        <v>164</v>
      </c>
      <c r="P46" s="35">
        <v>7.5</v>
      </c>
      <c r="Q46" s="35" t="s">
        <v>408</v>
      </c>
      <c r="R46" s="35" t="s">
        <v>404</v>
      </c>
    </row>
    <row r="47" spans="1:18">
      <c r="A47" s="36" t="s">
        <v>473</v>
      </c>
      <c r="B47" s="36" t="s">
        <v>410</v>
      </c>
      <c r="C47" s="36" t="s">
        <v>120</v>
      </c>
      <c r="D47" s="36" t="s">
        <v>196</v>
      </c>
      <c r="E47" s="36" t="s">
        <v>218</v>
      </c>
      <c r="F47" s="36" t="s">
        <v>436</v>
      </c>
      <c r="G47" s="36" t="s">
        <v>98</v>
      </c>
      <c r="H47" s="36" t="s">
        <v>196</v>
      </c>
      <c r="I47" s="36" t="s">
        <v>218</v>
      </c>
      <c r="J47" s="36">
        <v>1862</v>
      </c>
      <c r="K47" s="36" t="s">
        <v>94</v>
      </c>
      <c r="L47" s="36">
        <v>300</v>
      </c>
      <c r="M47" s="36" t="s">
        <v>401</v>
      </c>
      <c r="N47" s="36" t="s">
        <v>401</v>
      </c>
      <c r="O47" s="36" t="s">
        <v>108</v>
      </c>
      <c r="P47" s="36">
        <v>3</v>
      </c>
      <c r="Q47" s="36" t="s">
        <v>403</v>
      </c>
      <c r="R47" s="36" t="s">
        <v>404</v>
      </c>
    </row>
    <row r="48" spans="1:18">
      <c r="A48" s="35" t="s">
        <v>474</v>
      </c>
      <c r="B48" s="35" t="s">
        <v>465</v>
      </c>
      <c r="C48" s="35" t="s">
        <v>120</v>
      </c>
      <c r="D48" s="35" t="s">
        <v>90</v>
      </c>
      <c r="E48" s="35" t="s">
        <v>145</v>
      </c>
      <c r="F48" s="35" t="s">
        <v>460</v>
      </c>
      <c r="G48" s="35" t="s">
        <v>98</v>
      </c>
      <c r="H48" s="35" t="s">
        <v>90</v>
      </c>
      <c r="I48" s="35" t="s">
        <v>145</v>
      </c>
      <c r="J48" s="35">
        <v>1914</v>
      </c>
      <c r="K48" s="35" t="s">
        <v>118</v>
      </c>
      <c r="L48" s="35">
        <v>250</v>
      </c>
      <c r="M48" s="35" t="s">
        <v>401</v>
      </c>
      <c r="N48" s="35" t="s">
        <v>402</v>
      </c>
      <c r="O48" s="35" t="s">
        <v>108</v>
      </c>
      <c r="P48" s="35">
        <v>2.5</v>
      </c>
      <c r="Q48" s="35" t="s">
        <v>408</v>
      </c>
      <c r="R48" s="35" t="s">
        <v>404</v>
      </c>
    </row>
    <row r="49" spans="1:18">
      <c r="A49" s="36" t="s">
        <v>475</v>
      </c>
      <c r="B49" s="36" t="s">
        <v>415</v>
      </c>
      <c r="C49" s="36" t="s">
        <v>96</v>
      </c>
      <c r="D49" s="36" t="s">
        <v>196</v>
      </c>
      <c r="E49" s="36" t="s">
        <v>197</v>
      </c>
      <c r="F49" s="36" t="s">
        <v>460</v>
      </c>
      <c r="G49" s="36" t="s">
        <v>98</v>
      </c>
      <c r="H49" s="36" t="s">
        <v>196</v>
      </c>
      <c r="I49" s="36" t="s">
        <v>197</v>
      </c>
      <c r="J49" s="36">
        <v>1896</v>
      </c>
      <c r="K49" s="36" t="s">
        <v>94</v>
      </c>
      <c r="L49" s="36">
        <v>300</v>
      </c>
      <c r="M49" s="36" t="s">
        <v>401</v>
      </c>
      <c r="N49" s="36" t="s">
        <v>401</v>
      </c>
      <c r="O49" s="36" t="s">
        <v>164</v>
      </c>
      <c r="P49" s="36">
        <v>3</v>
      </c>
      <c r="Q49" s="36" t="s">
        <v>408</v>
      </c>
      <c r="R49" s="36" t="s">
        <v>404</v>
      </c>
    </row>
    <row r="50" spans="1:18">
      <c r="A50" s="35" t="s">
        <v>476</v>
      </c>
      <c r="B50" s="35" t="s">
        <v>418</v>
      </c>
      <c r="C50" s="35" t="s">
        <v>120</v>
      </c>
      <c r="D50" s="35" t="s">
        <v>196</v>
      </c>
      <c r="E50" s="35" t="s">
        <v>204</v>
      </c>
      <c r="F50" s="35" t="s">
        <v>419</v>
      </c>
      <c r="G50" s="35" t="s">
        <v>132</v>
      </c>
      <c r="H50" s="35" t="s">
        <v>196</v>
      </c>
      <c r="I50" s="35" t="s">
        <v>204</v>
      </c>
      <c r="J50" s="35">
        <v>1908</v>
      </c>
      <c r="K50" s="35" t="s">
        <v>151</v>
      </c>
      <c r="L50" s="35">
        <v>500</v>
      </c>
      <c r="M50" s="35" t="s">
        <v>402</v>
      </c>
      <c r="N50" s="35" t="s">
        <v>402</v>
      </c>
      <c r="O50" s="35" t="s">
        <v>126</v>
      </c>
      <c r="P50" s="35">
        <v>5</v>
      </c>
      <c r="Q50" s="35" t="s">
        <v>408</v>
      </c>
      <c r="R50" s="35" t="s">
        <v>404</v>
      </c>
    </row>
    <row r="51" spans="1:18">
      <c r="A51" s="36" t="s">
        <v>477</v>
      </c>
      <c r="B51" s="36" t="s">
        <v>465</v>
      </c>
      <c r="C51" s="36" t="s">
        <v>120</v>
      </c>
      <c r="D51" s="36" t="s">
        <v>90</v>
      </c>
      <c r="E51" s="36" t="s">
        <v>145</v>
      </c>
      <c r="F51" s="36" t="s">
        <v>448</v>
      </c>
      <c r="G51" s="36" t="s">
        <v>98</v>
      </c>
      <c r="H51" s="36" t="s">
        <v>90</v>
      </c>
      <c r="I51" s="36" t="s">
        <v>145</v>
      </c>
      <c r="J51" s="36">
        <v>1877</v>
      </c>
      <c r="K51" s="36" t="s">
        <v>118</v>
      </c>
      <c r="L51" s="36">
        <v>1500</v>
      </c>
      <c r="M51" s="36" t="s">
        <v>402</v>
      </c>
      <c r="N51" s="36" t="s">
        <v>402</v>
      </c>
      <c r="O51" s="36" t="s">
        <v>108</v>
      </c>
      <c r="P51" s="36">
        <v>15</v>
      </c>
      <c r="Q51" s="36" t="s">
        <v>408</v>
      </c>
      <c r="R51" s="36" t="s">
        <v>404</v>
      </c>
    </row>
    <row r="52" spans="1:18">
      <c r="A52" s="35" t="s">
        <v>478</v>
      </c>
      <c r="B52" s="35" t="s">
        <v>450</v>
      </c>
      <c r="C52" s="35" t="s">
        <v>152</v>
      </c>
      <c r="D52" s="35" t="s">
        <v>90</v>
      </c>
      <c r="E52" s="35" t="s">
        <v>139</v>
      </c>
      <c r="F52" s="35" t="s">
        <v>400</v>
      </c>
      <c r="G52" s="35" t="s">
        <v>98</v>
      </c>
      <c r="H52" s="35" t="s">
        <v>90</v>
      </c>
      <c r="I52" s="35" t="s">
        <v>139</v>
      </c>
      <c r="J52" s="35">
        <v>1876</v>
      </c>
      <c r="K52" s="35" t="s">
        <v>118</v>
      </c>
      <c r="L52" s="35">
        <v>2000</v>
      </c>
      <c r="M52" s="35" t="s">
        <v>402</v>
      </c>
      <c r="N52" s="35" t="s">
        <v>402</v>
      </c>
      <c r="O52" s="35" t="s">
        <v>108</v>
      </c>
      <c r="P52" s="35">
        <v>20</v>
      </c>
      <c r="Q52" s="35" t="s">
        <v>403</v>
      </c>
      <c r="R52" s="35" t="s">
        <v>404</v>
      </c>
    </row>
    <row r="53" spans="1:18">
      <c r="A53" s="36" t="s">
        <v>479</v>
      </c>
      <c r="B53" s="36" t="s">
        <v>410</v>
      </c>
      <c r="C53" s="36" t="s">
        <v>120</v>
      </c>
      <c r="D53" s="36" t="s">
        <v>196</v>
      </c>
      <c r="E53" s="36" t="s">
        <v>218</v>
      </c>
      <c r="F53" s="36" t="s">
        <v>411</v>
      </c>
      <c r="G53" s="36" t="s">
        <v>121</v>
      </c>
      <c r="H53" s="36" t="s">
        <v>196</v>
      </c>
      <c r="I53" s="36" t="s">
        <v>218</v>
      </c>
      <c r="J53" s="36">
        <v>1914</v>
      </c>
      <c r="K53" s="36" t="s">
        <v>151</v>
      </c>
      <c r="L53" s="36">
        <v>750</v>
      </c>
      <c r="M53" s="36" t="s">
        <v>401</v>
      </c>
      <c r="N53" s="36" t="s">
        <v>401</v>
      </c>
      <c r="O53" s="36" t="s">
        <v>126</v>
      </c>
      <c r="P53" s="36">
        <v>7.5</v>
      </c>
      <c r="Q53" s="36" t="s">
        <v>408</v>
      </c>
      <c r="R53" s="36" t="s">
        <v>404</v>
      </c>
    </row>
    <row r="54" spans="1:18">
      <c r="A54" s="35" t="s">
        <v>480</v>
      </c>
      <c r="B54" s="35" t="s">
        <v>459</v>
      </c>
      <c r="C54" s="35" t="s">
        <v>120</v>
      </c>
      <c r="D54" s="35" t="s">
        <v>196</v>
      </c>
      <c r="E54" s="35" t="s">
        <v>200</v>
      </c>
      <c r="F54" s="35" t="s">
        <v>416</v>
      </c>
      <c r="G54" s="35" t="s">
        <v>121</v>
      </c>
      <c r="H54" s="35" t="s">
        <v>196</v>
      </c>
      <c r="I54" s="35" t="s">
        <v>200</v>
      </c>
      <c r="J54" s="35">
        <v>1884</v>
      </c>
      <c r="K54" s="35" t="s">
        <v>151</v>
      </c>
      <c r="L54" s="35">
        <v>2000</v>
      </c>
      <c r="M54" s="35" t="s">
        <v>401</v>
      </c>
      <c r="N54" s="35" t="s">
        <v>401</v>
      </c>
      <c r="O54" s="35" t="s">
        <v>164</v>
      </c>
      <c r="P54" s="35">
        <v>20</v>
      </c>
      <c r="Q54" s="35" t="s">
        <v>408</v>
      </c>
      <c r="R54" s="35" t="s">
        <v>404</v>
      </c>
    </row>
    <row r="55" spans="1:18">
      <c r="A55" s="36" t="s">
        <v>481</v>
      </c>
      <c r="B55" s="36" t="s">
        <v>399</v>
      </c>
      <c r="C55" s="36" t="s">
        <v>152</v>
      </c>
      <c r="D55" s="36" t="s">
        <v>196</v>
      </c>
      <c r="E55" s="36" t="s">
        <v>215</v>
      </c>
      <c r="F55" s="36" t="s">
        <v>407</v>
      </c>
      <c r="G55" s="36" t="s">
        <v>121</v>
      </c>
      <c r="H55" s="36" t="s">
        <v>196</v>
      </c>
      <c r="I55" s="36" t="s">
        <v>215</v>
      </c>
      <c r="J55" s="36">
        <v>1862</v>
      </c>
      <c r="K55" s="36" t="s">
        <v>151</v>
      </c>
      <c r="L55" s="36">
        <v>150</v>
      </c>
      <c r="M55" s="36" t="s">
        <v>401</v>
      </c>
      <c r="N55" s="36" t="s">
        <v>401</v>
      </c>
      <c r="O55" s="36" t="s">
        <v>108</v>
      </c>
      <c r="P55" s="36">
        <v>1.5</v>
      </c>
      <c r="Q55" s="36" t="s">
        <v>408</v>
      </c>
      <c r="R55" s="36" t="s">
        <v>404</v>
      </c>
    </row>
    <row r="56" spans="1:18">
      <c r="A56" s="35" t="s">
        <v>482</v>
      </c>
      <c r="B56" s="35" t="s">
        <v>399</v>
      </c>
      <c r="C56" s="35" t="s">
        <v>152</v>
      </c>
      <c r="D56" s="35" t="s">
        <v>196</v>
      </c>
      <c r="E56" s="35" t="s">
        <v>215</v>
      </c>
      <c r="F56" s="35" t="s">
        <v>448</v>
      </c>
      <c r="G56" s="35" t="s">
        <v>98</v>
      </c>
      <c r="H56" s="35" t="s">
        <v>196</v>
      </c>
      <c r="I56" s="35" t="s">
        <v>215</v>
      </c>
      <c r="J56" s="35">
        <v>1866</v>
      </c>
      <c r="K56" s="35" t="s">
        <v>94</v>
      </c>
      <c r="L56" s="35">
        <v>150</v>
      </c>
      <c r="M56" s="35" t="s">
        <v>401</v>
      </c>
      <c r="N56" s="35" t="s">
        <v>401</v>
      </c>
      <c r="O56" s="35" t="s">
        <v>108</v>
      </c>
      <c r="P56" s="35">
        <v>1.5</v>
      </c>
      <c r="Q56" s="35" t="s">
        <v>408</v>
      </c>
      <c r="R56" s="35" t="s">
        <v>404</v>
      </c>
    </row>
    <row r="57" spans="1:18">
      <c r="A57" s="36" t="s">
        <v>483</v>
      </c>
      <c r="B57" s="36" t="s">
        <v>406</v>
      </c>
      <c r="C57" s="36" t="s">
        <v>96</v>
      </c>
      <c r="D57" s="36" t="s">
        <v>90</v>
      </c>
      <c r="E57" s="36" t="s">
        <v>130</v>
      </c>
      <c r="F57" s="36" t="s">
        <v>407</v>
      </c>
      <c r="G57" s="36" t="s">
        <v>121</v>
      </c>
      <c r="H57" s="36" t="s">
        <v>90</v>
      </c>
      <c r="I57" s="36" t="s">
        <v>130</v>
      </c>
      <c r="J57" s="36">
        <v>1867</v>
      </c>
      <c r="K57" s="36" t="s">
        <v>94</v>
      </c>
      <c r="L57" s="36">
        <v>100</v>
      </c>
      <c r="M57" s="36" t="s">
        <v>401</v>
      </c>
      <c r="N57" s="36" t="s">
        <v>401</v>
      </c>
      <c r="O57" s="36" t="s">
        <v>164</v>
      </c>
      <c r="P57" s="36">
        <v>1</v>
      </c>
      <c r="Q57" s="36" t="s">
        <v>403</v>
      </c>
      <c r="R57" s="36" t="s">
        <v>404</v>
      </c>
    </row>
    <row r="58" spans="1:18">
      <c r="A58" s="35" t="s">
        <v>484</v>
      </c>
      <c r="B58" s="35" t="s">
        <v>424</v>
      </c>
      <c r="C58" s="35" t="s">
        <v>163</v>
      </c>
      <c r="D58" s="35" t="s">
        <v>90</v>
      </c>
      <c r="E58" s="35" t="s">
        <v>166</v>
      </c>
      <c r="F58" s="35" t="s">
        <v>434</v>
      </c>
      <c r="G58" s="35" t="s">
        <v>132</v>
      </c>
      <c r="H58" s="35" t="s">
        <v>90</v>
      </c>
      <c r="I58" s="35" t="s">
        <v>166</v>
      </c>
      <c r="J58" s="35">
        <v>1901</v>
      </c>
      <c r="K58" s="35" t="s">
        <v>94</v>
      </c>
      <c r="L58" s="35">
        <v>150</v>
      </c>
      <c r="M58" s="35" t="s">
        <v>401</v>
      </c>
      <c r="N58" s="35" t="s">
        <v>401</v>
      </c>
      <c r="O58" s="35" t="s">
        <v>164</v>
      </c>
      <c r="P58" s="35">
        <v>1.5</v>
      </c>
      <c r="Q58" s="35" t="s">
        <v>408</v>
      </c>
      <c r="R58" s="35" t="s">
        <v>404</v>
      </c>
    </row>
    <row r="59" spans="1:18">
      <c r="A59" s="36" t="s">
        <v>485</v>
      </c>
      <c r="B59" s="36" t="s">
        <v>406</v>
      </c>
      <c r="C59" s="36" t="s">
        <v>96</v>
      </c>
      <c r="D59" s="36" t="s">
        <v>90</v>
      </c>
      <c r="E59" s="36" t="s">
        <v>130</v>
      </c>
      <c r="F59" s="36" t="s">
        <v>400</v>
      </c>
      <c r="G59" s="36" t="s">
        <v>98</v>
      </c>
      <c r="H59" s="36" t="s">
        <v>90</v>
      </c>
      <c r="I59" s="36" t="s">
        <v>130</v>
      </c>
      <c r="J59" s="36">
        <v>1898</v>
      </c>
      <c r="K59" s="36" t="s">
        <v>118</v>
      </c>
      <c r="L59" s="36">
        <v>200</v>
      </c>
      <c r="M59" s="36" t="s">
        <v>401</v>
      </c>
      <c r="N59" s="36" t="s">
        <v>402</v>
      </c>
      <c r="O59" s="36" t="s">
        <v>164</v>
      </c>
      <c r="P59" s="36">
        <v>2</v>
      </c>
      <c r="Q59" s="36" t="s">
        <v>408</v>
      </c>
      <c r="R59" s="36" t="s">
        <v>404</v>
      </c>
    </row>
    <row r="60" spans="1:18">
      <c r="A60" s="35" t="s">
        <v>486</v>
      </c>
      <c r="B60" s="35" t="s">
        <v>418</v>
      </c>
      <c r="C60" s="35" t="s">
        <v>120</v>
      </c>
      <c r="D60" s="35" t="s">
        <v>196</v>
      </c>
      <c r="E60" s="35" t="s">
        <v>204</v>
      </c>
      <c r="F60" s="35" t="s">
        <v>431</v>
      </c>
      <c r="G60" s="35" t="s">
        <v>158</v>
      </c>
      <c r="H60" s="35" t="s">
        <v>196</v>
      </c>
      <c r="I60" s="35" t="s">
        <v>204</v>
      </c>
      <c r="J60" s="35">
        <v>1923</v>
      </c>
      <c r="K60" s="35" t="s">
        <v>94</v>
      </c>
      <c r="L60" s="35">
        <v>50</v>
      </c>
      <c r="M60" s="35" t="s">
        <v>402</v>
      </c>
      <c r="N60" s="35" t="s">
        <v>402</v>
      </c>
      <c r="O60" s="35" t="s">
        <v>164</v>
      </c>
      <c r="P60" s="35">
        <v>0.5</v>
      </c>
      <c r="Q60" s="35" t="s">
        <v>408</v>
      </c>
      <c r="R60" s="35" t="s">
        <v>404</v>
      </c>
    </row>
    <row r="61" spans="1:18">
      <c r="A61" s="36" t="s">
        <v>487</v>
      </c>
      <c r="B61" s="36" t="s">
        <v>418</v>
      </c>
      <c r="C61" s="36" t="s">
        <v>120</v>
      </c>
      <c r="D61" s="36" t="s">
        <v>196</v>
      </c>
      <c r="E61" s="36" t="s">
        <v>204</v>
      </c>
      <c r="F61" s="36" t="s">
        <v>407</v>
      </c>
      <c r="G61" s="36" t="s">
        <v>121</v>
      </c>
      <c r="H61" s="36" t="s">
        <v>196</v>
      </c>
      <c r="I61" s="36" t="s">
        <v>204</v>
      </c>
      <c r="J61" s="36">
        <v>1900</v>
      </c>
      <c r="K61" s="36" t="s">
        <v>118</v>
      </c>
      <c r="L61" s="36">
        <v>2000</v>
      </c>
      <c r="M61" s="36" t="s">
        <v>401</v>
      </c>
      <c r="N61" s="36" t="s">
        <v>401</v>
      </c>
      <c r="O61" s="36" t="s">
        <v>126</v>
      </c>
      <c r="P61" s="36">
        <v>20</v>
      </c>
      <c r="Q61" s="36" t="s">
        <v>408</v>
      </c>
      <c r="R61" s="36" t="s">
        <v>404</v>
      </c>
    </row>
    <row r="62" spans="1:18">
      <c r="A62" s="35" t="s">
        <v>488</v>
      </c>
      <c r="B62" s="35" t="s">
        <v>450</v>
      </c>
      <c r="C62" s="35" t="s">
        <v>152</v>
      </c>
      <c r="D62" s="35" t="s">
        <v>90</v>
      </c>
      <c r="E62" s="35" t="s">
        <v>139</v>
      </c>
      <c r="F62" s="35" t="s">
        <v>411</v>
      </c>
      <c r="G62" s="35" t="s">
        <v>121</v>
      </c>
      <c r="H62" s="35" t="s">
        <v>90</v>
      </c>
      <c r="I62" s="35" t="s">
        <v>139</v>
      </c>
      <c r="J62" s="35">
        <v>1890</v>
      </c>
      <c r="K62" s="35" t="s">
        <v>118</v>
      </c>
      <c r="L62" s="35">
        <v>150</v>
      </c>
      <c r="M62" s="35" t="s">
        <v>401</v>
      </c>
      <c r="N62" s="35" t="s">
        <v>402</v>
      </c>
      <c r="O62" s="35" t="s">
        <v>126</v>
      </c>
      <c r="P62" s="35">
        <v>1.5</v>
      </c>
      <c r="Q62" s="35" t="s">
        <v>403</v>
      </c>
      <c r="R62" s="35" t="s">
        <v>404</v>
      </c>
    </row>
    <row r="63" spans="1:18">
      <c r="A63" s="36" t="s">
        <v>489</v>
      </c>
      <c r="B63" s="36" t="s">
        <v>450</v>
      </c>
      <c r="C63" s="36" t="s">
        <v>152</v>
      </c>
      <c r="D63" s="36" t="s">
        <v>90</v>
      </c>
      <c r="E63" s="36" t="s">
        <v>139</v>
      </c>
      <c r="F63" s="36" t="s">
        <v>400</v>
      </c>
      <c r="G63" s="36" t="s">
        <v>98</v>
      </c>
      <c r="H63" s="36" t="s">
        <v>90</v>
      </c>
      <c r="I63" s="36" t="s">
        <v>139</v>
      </c>
      <c r="J63" s="36">
        <v>1913</v>
      </c>
      <c r="K63" s="36" t="s">
        <v>118</v>
      </c>
      <c r="L63" s="36">
        <v>750</v>
      </c>
      <c r="M63" s="36" t="s">
        <v>401</v>
      </c>
      <c r="N63" s="36" t="s">
        <v>401</v>
      </c>
      <c r="O63" s="36" t="s">
        <v>126</v>
      </c>
      <c r="P63" s="36">
        <v>7.5</v>
      </c>
      <c r="Q63" s="36" t="s">
        <v>408</v>
      </c>
      <c r="R63" s="36" t="s">
        <v>404</v>
      </c>
    </row>
    <row r="64" spans="1:18">
      <c r="A64" s="35" t="s">
        <v>490</v>
      </c>
      <c r="B64" s="35" t="s">
        <v>424</v>
      </c>
      <c r="C64" s="35" t="s">
        <v>163</v>
      </c>
      <c r="D64" s="35" t="s">
        <v>90</v>
      </c>
      <c r="E64" s="35" t="s">
        <v>166</v>
      </c>
      <c r="F64" s="35" t="s">
        <v>448</v>
      </c>
      <c r="G64" s="35" t="s">
        <v>98</v>
      </c>
      <c r="H64" s="35" t="s">
        <v>90</v>
      </c>
      <c r="I64" s="35" t="s">
        <v>166</v>
      </c>
      <c r="J64" s="35">
        <v>1870</v>
      </c>
      <c r="K64" s="35" t="s">
        <v>94</v>
      </c>
      <c r="L64" s="35">
        <v>500</v>
      </c>
      <c r="M64" s="35" t="s">
        <v>402</v>
      </c>
      <c r="N64" s="35" t="s">
        <v>402</v>
      </c>
      <c r="O64" s="35" t="s">
        <v>108</v>
      </c>
      <c r="P64" s="35">
        <v>5</v>
      </c>
      <c r="Q64" s="35" t="s">
        <v>408</v>
      </c>
      <c r="R64" s="35" t="s">
        <v>404</v>
      </c>
    </row>
    <row r="65" spans="1:18">
      <c r="A65" s="36" t="s">
        <v>491</v>
      </c>
      <c r="B65" s="36" t="s">
        <v>406</v>
      </c>
      <c r="C65" s="36" t="s">
        <v>96</v>
      </c>
      <c r="D65" s="36" t="s">
        <v>90</v>
      </c>
      <c r="E65" s="36" t="s">
        <v>130</v>
      </c>
      <c r="F65" s="36" t="s">
        <v>460</v>
      </c>
      <c r="G65" s="36" t="s">
        <v>98</v>
      </c>
      <c r="H65" s="36" t="s">
        <v>90</v>
      </c>
      <c r="I65" s="36" t="s">
        <v>130</v>
      </c>
      <c r="J65" s="36">
        <v>1894</v>
      </c>
      <c r="K65" s="36" t="s">
        <v>118</v>
      </c>
      <c r="L65" s="36">
        <v>300</v>
      </c>
      <c r="M65" s="36" t="s">
        <v>401</v>
      </c>
      <c r="N65" s="36" t="s">
        <v>402</v>
      </c>
      <c r="O65" s="36" t="s">
        <v>108</v>
      </c>
      <c r="P65" s="36">
        <v>3</v>
      </c>
      <c r="Q65" s="36" t="s">
        <v>408</v>
      </c>
      <c r="R65" s="36" t="s">
        <v>404</v>
      </c>
    </row>
    <row r="66" spans="1:18">
      <c r="A66" s="35" t="s">
        <v>492</v>
      </c>
      <c r="B66" s="35" t="s">
        <v>399</v>
      </c>
      <c r="C66" s="35" t="s">
        <v>152</v>
      </c>
      <c r="D66" s="35" t="s">
        <v>196</v>
      </c>
      <c r="E66" s="35" t="s">
        <v>215</v>
      </c>
      <c r="F66" s="35" t="s">
        <v>436</v>
      </c>
      <c r="G66" s="35" t="s">
        <v>98</v>
      </c>
      <c r="H66" s="35" t="s">
        <v>196</v>
      </c>
      <c r="I66" s="35" t="s">
        <v>215</v>
      </c>
      <c r="J66" s="35">
        <v>1887</v>
      </c>
      <c r="K66" s="35" t="s">
        <v>118</v>
      </c>
      <c r="L66" s="35">
        <v>500</v>
      </c>
      <c r="M66" s="35" t="s">
        <v>401</v>
      </c>
      <c r="N66" s="35" t="s">
        <v>402</v>
      </c>
      <c r="O66" s="35" t="s">
        <v>126</v>
      </c>
      <c r="P66" s="35">
        <v>5</v>
      </c>
      <c r="Q66" s="35" t="s">
        <v>408</v>
      </c>
      <c r="R66" s="35" t="s">
        <v>404</v>
      </c>
    </row>
    <row r="67" spans="1:18">
      <c r="A67" s="36" t="s">
        <v>493</v>
      </c>
      <c r="B67" s="36" t="s">
        <v>406</v>
      </c>
      <c r="C67" s="36" t="s">
        <v>96</v>
      </c>
      <c r="D67" s="36" t="s">
        <v>90</v>
      </c>
      <c r="E67" s="36" t="s">
        <v>130</v>
      </c>
      <c r="F67" s="36" t="s">
        <v>429</v>
      </c>
      <c r="G67" s="36" t="s">
        <v>132</v>
      </c>
      <c r="H67" s="36" t="s">
        <v>90</v>
      </c>
      <c r="I67" s="36" t="s">
        <v>130</v>
      </c>
      <c r="J67" s="36">
        <v>1884</v>
      </c>
      <c r="K67" s="36" t="s">
        <v>118</v>
      </c>
      <c r="L67" s="36">
        <v>2000</v>
      </c>
      <c r="M67" s="36" t="s">
        <v>401</v>
      </c>
      <c r="N67" s="36" t="s">
        <v>402</v>
      </c>
      <c r="O67" s="36" t="s">
        <v>126</v>
      </c>
      <c r="P67" s="36">
        <v>20</v>
      </c>
      <c r="Q67" s="36" t="s">
        <v>403</v>
      </c>
      <c r="R67" s="36" t="s">
        <v>404</v>
      </c>
    </row>
    <row r="68" spans="1:18">
      <c r="A68" s="35" t="s">
        <v>494</v>
      </c>
      <c r="B68" s="35" t="s">
        <v>399</v>
      </c>
      <c r="C68" s="35" t="s">
        <v>152</v>
      </c>
      <c r="D68" s="35" t="s">
        <v>196</v>
      </c>
      <c r="E68" s="35" t="s">
        <v>215</v>
      </c>
      <c r="F68" s="35" t="s">
        <v>436</v>
      </c>
      <c r="G68" s="35" t="s">
        <v>98</v>
      </c>
      <c r="H68" s="35" t="s">
        <v>196</v>
      </c>
      <c r="I68" s="35" t="s">
        <v>215</v>
      </c>
      <c r="J68" s="35">
        <v>1886</v>
      </c>
      <c r="K68" s="35" t="s">
        <v>151</v>
      </c>
      <c r="L68" s="35">
        <v>300</v>
      </c>
      <c r="M68" s="35" t="s">
        <v>402</v>
      </c>
      <c r="N68" s="35" t="s">
        <v>402</v>
      </c>
      <c r="O68" s="35" t="s">
        <v>164</v>
      </c>
      <c r="P68" s="35">
        <v>3</v>
      </c>
      <c r="Q68" s="35" t="s">
        <v>408</v>
      </c>
      <c r="R68" s="35" t="s">
        <v>404</v>
      </c>
    </row>
    <row r="69" spans="1:18">
      <c r="A69" s="36" t="s">
        <v>495</v>
      </c>
      <c r="B69" s="36" t="s">
        <v>410</v>
      </c>
      <c r="C69" s="36" t="s">
        <v>120</v>
      </c>
      <c r="D69" s="36" t="s">
        <v>196</v>
      </c>
      <c r="E69" s="36" t="s">
        <v>218</v>
      </c>
      <c r="F69" s="36" t="s">
        <v>400</v>
      </c>
      <c r="G69" s="36" t="s">
        <v>98</v>
      </c>
      <c r="H69" s="36" t="s">
        <v>196</v>
      </c>
      <c r="I69" s="36" t="s">
        <v>218</v>
      </c>
      <c r="J69" s="36">
        <v>1919</v>
      </c>
      <c r="K69" s="36" t="s">
        <v>94</v>
      </c>
      <c r="L69" s="36">
        <v>750</v>
      </c>
      <c r="M69" s="36" t="s">
        <v>401</v>
      </c>
      <c r="N69" s="36" t="s">
        <v>401</v>
      </c>
      <c r="O69" s="36" t="s">
        <v>126</v>
      </c>
      <c r="P69" s="36">
        <v>7.5</v>
      </c>
      <c r="Q69" s="36" t="s">
        <v>408</v>
      </c>
      <c r="R69" s="36" t="s">
        <v>404</v>
      </c>
    </row>
    <row r="70" spans="1:18">
      <c r="A70" s="35" t="s">
        <v>496</v>
      </c>
      <c r="B70" s="35" t="s">
        <v>415</v>
      </c>
      <c r="C70" s="35" t="s">
        <v>96</v>
      </c>
      <c r="D70" s="35" t="s">
        <v>196</v>
      </c>
      <c r="E70" s="35" t="s">
        <v>197</v>
      </c>
      <c r="F70" s="35" t="s">
        <v>411</v>
      </c>
      <c r="G70" s="35" t="s">
        <v>121</v>
      </c>
      <c r="H70" s="35" t="s">
        <v>196</v>
      </c>
      <c r="I70" s="35" t="s">
        <v>197</v>
      </c>
      <c r="J70" s="35">
        <v>1872</v>
      </c>
      <c r="K70" s="35" t="s">
        <v>151</v>
      </c>
      <c r="L70" s="35">
        <v>2000</v>
      </c>
      <c r="M70" s="35" t="s">
        <v>401</v>
      </c>
      <c r="N70" s="35" t="s">
        <v>402</v>
      </c>
      <c r="O70" s="35" t="s">
        <v>108</v>
      </c>
      <c r="P70" s="35">
        <v>20</v>
      </c>
      <c r="Q70" s="35" t="s">
        <v>408</v>
      </c>
      <c r="R70" s="35" t="s">
        <v>404</v>
      </c>
    </row>
    <row r="71" spans="1:18">
      <c r="A71" s="36" t="s">
        <v>497</v>
      </c>
      <c r="B71" s="36" t="s">
        <v>424</v>
      </c>
      <c r="C71" s="36" t="s">
        <v>163</v>
      </c>
      <c r="D71" s="36" t="s">
        <v>90</v>
      </c>
      <c r="E71" s="36" t="s">
        <v>166</v>
      </c>
      <c r="F71" s="36" t="s">
        <v>400</v>
      </c>
      <c r="G71" s="36" t="s">
        <v>98</v>
      </c>
      <c r="H71" s="36" t="s">
        <v>90</v>
      </c>
      <c r="I71" s="36" t="s">
        <v>166</v>
      </c>
      <c r="J71" s="36">
        <v>1865</v>
      </c>
      <c r="K71" s="36" t="s">
        <v>118</v>
      </c>
      <c r="L71" s="36">
        <v>1000</v>
      </c>
      <c r="M71" s="36" t="s">
        <v>402</v>
      </c>
      <c r="N71" s="36" t="s">
        <v>402</v>
      </c>
      <c r="O71" s="36" t="s">
        <v>164</v>
      </c>
      <c r="P71" s="36">
        <v>10</v>
      </c>
      <c r="Q71" s="36" t="s">
        <v>408</v>
      </c>
      <c r="R71" s="36" t="s">
        <v>404</v>
      </c>
    </row>
    <row r="72" spans="1:18">
      <c r="A72" s="35" t="s">
        <v>498</v>
      </c>
      <c r="B72" s="35" t="s">
        <v>426</v>
      </c>
      <c r="C72" s="35" t="s">
        <v>120</v>
      </c>
      <c r="D72" s="35" t="s">
        <v>90</v>
      </c>
      <c r="E72" s="35" t="s">
        <v>156</v>
      </c>
      <c r="F72" s="35" t="s">
        <v>416</v>
      </c>
      <c r="G72" s="35" t="s">
        <v>121</v>
      </c>
      <c r="H72" s="35" t="s">
        <v>90</v>
      </c>
      <c r="I72" s="35" t="s">
        <v>156</v>
      </c>
      <c r="J72" s="35">
        <v>1913</v>
      </c>
      <c r="K72" s="35" t="s">
        <v>94</v>
      </c>
      <c r="L72" s="35">
        <v>200</v>
      </c>
      <c r="M72" s="35" t="s">
        <v>401</v>
      </c>
      <c r="N72" s="35" t="s">
        <v>401</v>
      </c>
      <c r="O72" s="35" t="s">
        <v>126</v>
      </c>
      <c r="P72" s="35">
        <v>2</v>
      </c>
      <c r="Q72" s="35" t="s">
        <v>403</v>
      </c>
      <c r="R72" s="35" t="s">
        <v>404</v>
      </c>
    </row>
    <row r="73" spans="1:18">
      <c r="A73" s="36" t="s">
        <v>499</v>
      </c>
      <c r="B73" s="36" t="s">
        <v>406</v>
      </c>
      <c r="C73" s="36" t="s">
        <v>96</v>
      </c>
      <c r="D73" s="36" t="s">
        <v>90</v>
      </c>
      <c r="E73" s="36" t="s">
        <v>130</v>
      </c>
      <c r="F73" s="36" t="s">
        <v>411</v>
      </c>
      <c r="G73" s="36" t="s">
        <v>121</v>
      </c>
      <c r="H73" s="36" t="s">
        <v>90</v>
      </c>
      <c r="I73" s="36" t="s">
        <v>130</v>
      </c>
      <c r="J73" s="36">
        <v>1903</v>
      </c>
      <c r="K73" s="36" t="s">
        <v>94</v>
      </c>
      <c r="L73" s="36">
        <v>200</v>
      </c>
      <c r="M73" s="36" t="s">
        <v>401</v>
      </c>
      <c r="N73" s="36" t="s">
        <v>402</v>
      </c>
      <c r="O73" s="36" t="s">
        <v>164</v>
      </c>
      <c r="P73" s="36">
        <v>2</v>
      </c>
      <c r="Q73" s="36" t="s">
        <v>408</v>
      </c>
      <c r="R73" s="36" t="s">
        <v>404</v>
      </c>
    </row>
    <row r="74" spans="1:18">
      <c r="A74" s="35" t="s">
        <v>500</v>
      </c>
      <c r="B74" s="35" t="s">
        <v>415</v>
      </c>
      <c r="C74" s="35" t="s">
        <v>96</v>
      </c>
      <c r="D74" s="35" t="s">
        <v>196</v>
      </c>
      <c r="E74" s="35" t="s">
        <v>197</v>
      </c>
      <c r="F74" s="35" t="s">
        <v>411</v>
      </c>
      <c r="G74" s="35" t="s">
        <v>121</v>
      </c>
      <c r="H74" s="35" t="s">
        <v>196</v>
      </c>
      <c r="I74" s="35" t="s">
        <v>197</v>
      </c>
      <c r="J74" s="35">
        <v>1881</v>
      </c>
      <c r="K74" s="35" t="s">
        <v>94</v>
      </c>
      <c r="L74" s="35">
        <v>2000</v>
      </c>
      <c r="M74" s="35" t="s">
        <v>401</v>
      </c>
      <c r="N74" s="35" t="s">
        <v>401</v>
      </c>
      <c r="O74" s="35" t="s">
        <v>164</v>
      </c>
      <c r="P74" s="35">
        <v>20</v>
      </c>
      <c r="Q74" s="35" t="s">
        <v>408</v>
      </c>
      <c r="R74" s="35" t="s">
        <v>404</v>
      </c>
    </row>
    <row r="75" spans="1:18">
      <c r="A75" s="36" t="s">
        <v>501</v>
      </c>
      <c r="B75" s="36" t="s">
        <v>415</v>
      </c>
      <c r="C75" s="36" t="s">
        <v>96</v>
      </c>
      <c r="D75" s="36" t="s">
        <v>196</v>
      </c>
      <c r="E75" s="36" t="s">
        <v>197</v>
      </c>
      <c r="F75" s="36" t="s">
        <v>427</v>
      </c>
      <c r="G75" s="36" t="s">
        <v>132</v>
      </c>
      <c r="H75" s="36" t="s">
        <v>196</v>
      </c>
      <c r="I75" s="36" t="s">
        <v>197</v>
      </c>
      <c r="J75" s="36">
        <v>1867</v>
      </c>
      <c r="K75" s="36" t="s">
        <v>118</v>
      </c>
      <c r="L75" s="36">
        <v>750</v>
      </c>
      <c r="M75" s="36" t="s">
        <v>401</v>
      </c>
      <c r="N75" s="36" t="s">
        <v>402</v>
      </c>
      <c r="O75" s="36" t="s">
        <v>164</v>
      </c>
      <c r="P75" s="36">
        <v>7.5</v>
      </c>
      <c r="Q75" s="36" t="s">
        <v>408</v>
      </c>
      <c r="R75" s="36" t="s">
        <v>404</v>
      </c>
    </row>
    <row r="76" spans="1:18">
      <c r="A76" s="35" t="s">
        <v>502</v>
      </c>
      <c r="B76" s="35" t="s">
        <v>426</v>
      </c>
      <c r="C76" s="35" t="s">
        <v>120</v>
      </c>
      <c r="D76" s="35" t="s">
        <v>90</v>
      </c>
      <c r="E76" s="35" t="s">
        <v>156</v>
      </c>
      <c r="F76" s="35" t="s">
        <v>400</v>
      </c>
      <c r="G76" s="35" t="s">
        <v>98</v>
      </c>
      <c r="H76" s="35" t="s">
        <v>90</v>
      </c>
      <c r="I76" s="35" t="s">
        <v>156</v>
      </c>
      <c r="J76" s="35">
        <v>1877</v>
      </c>
      <c r="K76" s="35" t="s">
        <v>118</v>
      </c>
      <c r="L76" s="35">
        <v>1500</v>
      </c>
      <c r="M76" s="35" t="s">
        <v>401</v>
      </c>
      <c r="N76" s="35" t="s">
        <v>402</v>
      </c>
      <c r="O76" s="35" t="s">
        <v>108</v>
      </c>
      <c r="P76" s="35">
        <v>15</v>
      </c>
      <c r="Q76" s="35" t="s">
        <v>408</v>
      </c>
      <c r="R76" s="35" t="s">
        <v>404</v>
      </c>
    </row>
    <row r="77" spans="1:18">
      <c r="A77" s="36" t="s">
        <v>503</v>
      </c>
      <c r="B77" s="36" t="s">
        <v>450</v>
      </c>
      <c r="C77" s="36" t="s">
        <v>152</v>
      </c>
      <c r="D77" s="36" t="s">
        <v>90</v>
      </c>
      <c r="E77" s="36" t="s">
        <v>139</v>
      </c>
      <c r="F77" s="36" t="s">
        <v>411</v>
      </c>
      <c r="G77" s="36" t="s">
        <v>121</v>
      </c>
      <c r="H77" s="36" t="s">
        <v>90</v>
      </c>
      <c r="I77" s="36" t="s">
        <v>139</v>
      </c>
      <c r="J77" s="36">
        <v>1907</v>
      </c>
      <c r="K77" s="36" t="s">
        <v>151</v>
      </c>
      <c r="L77" s="36">
        <v>50</v>
      </c>
      <c r="M77" s="36" t="s">
        <v>401</v>
      </c>
      <c r="N77" s="36" t="s">
        <v>402</v>
      </c>
      <c r="O77" s="36" t="s">
        <v>164</v>
      </c>
      <c r="P77" s="36">
        <v>0.5</v>
      </c>
      <c r="Q77" s="36" t="s">
        <v>403</v>
      </c>
      <c r="R77" s="36" t="s">
        <v>404</v>
      </c>
    </row>
    <row r="78" spans="1:18">
      <c r="A78" s="35" t="s">
        <v>504</v>
      </c>
      <c r="B78" s="35" t="s">
        <v>415</v>
      </c>
      <c r="C78" s="35" t="s">
        <v>96</v>
      </c>
      <c r="D78" s="35" t="s">
        <v>196</v>
      </c>
      <c r="E78" s="35" t="s">
        <v>197</v>
      </c>
      <c r="F78" s="35" t="s">
        <v>460</v>
      </c>
      <c r="G78" s="35" t="s">
        <v>98</v>
      </c>
      <c r="H78" s="35" t="s">
        <v>196</v>
      </c>
      <c r="I78" s="35" t="s">
        <v>197</v>
      </c>
      <c r="J78" s="35">
        <v>1860</v>
      </c>
      <c r="K78" s="35" t="s">
        <v>94</v>
      </c>
      <c r="L78" s="35">
        <v>750</v>
      </c>
      <c r="M78" s="35" t="s">
        <v>401</v>
      </c>
      <c r="N78" s="35" t="s">
        <v>401</v>
      </c>
      <c r="O78" s="35" t="s">
        <v>164</v>
      </c>
      <c r="P78" s="35">
        <v>7.5</v>
      </c>
      <c r="Q78" s="35" t="s">
        <v>408</v>
      </c>
      <c r="R78" s="35" t="s">
        <v>404</v>
      </c>
    </row>
    <row r="79" spans="1:18">
      <c r="A79" s="36" t="s">
        <v>505</v>
      </c>
      <c r="B79" s="36" t="s">
        <v>410</v>
      </c>
      <c r="C79" s="36" t="s">
        <v>120</v>
      </c>
      <c r="D79" s="36" t="s">
        <v>196</v>
      </c>
      <c r="E79" s="36" t="s">
        <v>218</v>
      </c>
      <c r="F79" s="36" t="s">
        <v>431</v>
      </c>
      <c r="G79" s="36" t="s">
        <v>158</v>
      </c>
      <c r="H79" s="36" t="s">
        <v>196</v>
      </c>
      <c r="I79" s="36" t="s">
        <v>218</v>
      </c>
      <c r="J79" s="36">
        <v>1896</v>
      </c>
      <c r="K79" s="36" t="s">
        <v>118</v>
      </c>
      <c r="L79" s="36">
        <v>50</v>
      </c>
      <c r="M79" s="36" t="s">
        <v>401</v>
      </c>
      <c r="N79" s="36" t="s">
        <v>402</v>
      </c>
      <c r="O79" s="36" t="s">
        <v>126</v>
      </c>
      <c r="P79" s="36">
        <v>0.5</v>
      </c>
      <c r="Q79" s="36" t="s">
        <v>408</v>
      </c>
      <c r="R79" s="36" t="s">
        <v>404</v>
      </c>
    </row>
    <row r="80" spans="1:18">
      <c r="A80" s="35" t="s">
        <v>506</v>
      </c>
      <c r="B80" s="35" t="s">
        <v>465</v>
      </c>
      <c r="C80" s="35" t="s">
        <v>120</v>
      </c>
      <c r="D80" s="35" t="s">
        <v>90</v>
      </c>
      <c r="E80" s="35" t="s">
        <v>145</v>
      </c>
      <c r="F80" s="35" t="s">
        <v>429</v>
      </c>
      <c r="G80" s="35" t="s">
        <v>132</v>
      </c>
      <c r="H80" s="35" t="s">
        <v>90</v>
      </c>
      <c r="I80" s="35" t="s">
        <v>145</v>
      </c>
      <c r="J80" s="35">
        <v>1872</v>
      </c>
      <c r="K80" s="35" t="s">
        <v>151</v>
      </c>
      <c r="L80" s="35">
        <v>750</v>
      </c>
      <c r="M80" s="35" t="s">
        <v>401</v>
      </c>
      <c r="N80" s="35" t="s">
        <v>401</v>
      </c>
      <c r="O80" s="35" t="s">
        <v>164</v>
      </c>
      <c r="P80" s="35">
        <v>7.5</v>
      </c>
      <c r="Q80" s="35" t="s">
        <v>408</v>
      </c>
      <c r="R80" s="35" t="s">
        <v>404</v>
      </c>
    </row>
    <row r="81" spans="1:18">
      <c r="A81" s="36" t="s">
        <v>507</v>
      </c>
      <c r="B81" s="36" t="s">
        <v>424</v>
      </c>
      <c r="C81" s="36" t="s">
        <v>163</v>
      </c>
      <c r="D81" s="36" t="s">
        <v>90</v>
      </c>
      <c r="E81" s="36" t="s">
        <v>166</v>
      </c>
      <c r="F81" s="36" t="s">
        <v>416</v>
      </c>
      <c r="G81" s="36" t="s">
        <v>121</v>
      </c>
      <c r="H81" s="36" t="s">
        <v>90</v>
      </c>
      <c r="I81" s="36" t="s">
        <v>166</v>
      </c>
      <c r="J81" s="36">
        <v>1910</v>
      </c>
      <c r="K81" s="36" t="s">
        <v>118</v>
      </c>
      <c r="L81" s="36">
        <v>75</v>
      </c>
      <c r="M81" s="36" t="s">
        <v>401</v>
      </c>
      <c r="N81" s="36" t="s">
        <v>401</v>
      </c>
      <c r="O81" s="36" t="s">
        <v>164</v>
      </c>
      <c r="P81" s="36">
        <v>0.8</v>
      </c>
      <c r="Q81" s="36" t="s">
        <v>408</v>
      </c>
      <c r="R81" s="36" t="s">
        <v>404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5" defaultRowHeight="16"/>
  <cols>
    <col min="1" max="1" width="12" customWidth="1"/>
    <col min="2" max="2" width="10" customWidth="1"/>
    <col min="3" max="4" width="14" customWidth="1"/>
    <col min="5" max="8" width="12" customWidth="1"/>
    <col min="9" max="9" width="18" customWidth="1"/>
    <col min="10" max="10" width="16" customWidth="1"/>
    <col min="11" max="11" width="18" customWidth="1"/>
    <col min="12" max="13" width="14" customWidth="1"/>
    <col min="14" max="14" width="12" customWidth="1"/>
    <col min="15" max="15" width="50" customWidth="1"/>
  </cols>
  <sheetData>
    <row r="1" spans="1:15" ht="31.5" customHeight="1">
      <c r="A1" s="43" t="s">
        <v>508</v>
      </c>
      <c r="B1" s="43" t="s">
        <v>11</v>
      </c>
      <c r="C1" s="43" t="s">
        <v>12</v>
      </c>
      <c r="D1" s="43" t="s">
        <v>509</v>
      </c>
      <c r="E1" s="43" t="s">
        <v>510</v>
      </c>
      <c r="F1" s="43" t="s">
        <v>511</v>
      </c>
      <c r="G1" s="43" t="s">
        <v>512</v>
      </c>
      <c r="H1" s="43" t="s">
        <v>513</v>
      </c>
      <c r="I1" s="43" t="s">
        <v>514</v>
      </c>
      <c r="J1" s="43" t="s">
        <v>515</v>
      </c>
      <c r="K1" s="43" t="s">
        <v>516</v>
      </c>
      <c r="L1" s="43" t="s">
        <v>517</v>
      </c>
      <c r="M1" s="43" t="s">
        <v>518</v>
      </c>
      <c r="N1" s="43" t="s">
        <v>519</v>
      </c>
      <c r="O1" s="43" t="s">
        <v>397</v>
      </c>
    </row>
    <row r="2" spans="1:15">
      <c r="A2" s="35" t="s">
        <v>520</v>
      </c>
      <c r="B2" s="35" t="s">
        <v>90</v>
      </c>
      <c r="C2" s="35" t="s">
        <v>156</v>
      </c>
      <c r="D2" s="35" t="s">
        <v>521</v>
      </c>
      <c r="E2" s="44">
        <v>18.52</v>
      </c>
      <c r="F2" s="44">
        <v>73.86</v>
      </c>
      <c r="G2" s="35" t="s">
        <v>522</v>
      </c>
      <c r="H2" s="44">
        <v>38</v>
      </c>
      <c r="I2" s="44">
        <v>420</v>
      </c>
      <c r="J2" s="35" t="s">
        <v>523</v>
      </c>
      <c r="K2" s="35" t="s">
        <v>113</v>
      </c>
      <c r="L2" s="44">
        <v>187</v>
      </c>
      <c r="M2" s="35" t="s">
        <v>113</v>
      </c>
      <c r="N2" s="35" t="s">
        <v>113</v>
      </c>
      <c r="O2" s="35" t="s">
        <v>524</v>
      </c>
    </row>
    <row r="3" spans="1:15">
      <c r="A3" s="36" t="s">
        <v>525</v>
      </c>
      <c r="B3" s="36" t="s">
        <v>90</v>
      </c>
      <c r="C3" s="36" t="s">
        <v>156</v>
      </c>
      <c r="D3" s="36" t="s">
        <v>526</v>
      </c>
      <c r="E3" s="45">
        <v>18.690000000000001</v>
      </c>
      <c r="F3" s="45">
        <v>73.52</v>
      </c>
      <c r="G3" s="36" t="s">
        <v>527</v>
      </c>
      <c r="H3" s="45">
        <v>22</v>
      </c>
      <c r="I3" s="45">
        <v>260</v>
      </c>
      <c r="J3" s="36" t="s">
        <v>528</v>
      </c>
      <c r="K3" s="36" t="s">
        <v>119</v>
      </c>
      <c r="L3" s="45">
        <v>145</v>
      </c>
      <c r="M3" s="36" t="s">
        <v>119</v>
      </c>
      <c r="N3" s="36" t="s">
        <v>119</v>
      </c>
      <c r="O3" s="36" t="s">
        <v>529</v>
      </c>
    </row>
    <row r="4" spans="1:15">
      <c r="A4" s="35" t="s">
        <v>530</v>
      </c>
      <c r="B4" s="35" t="s">
        <v>90</v>
      </c>
      <c r="C4" s="35" t="s">
        <v>145</v>
      </c>
      <c r="D4" s="35" t="s">
        <v>531</v>
      </c>
      <c r="E4" s="44">
        <v>18.63</v>
      </c>
      <c r="F4" s="44">
        <v>74.7</v>
      </c>
      <c r="G4" s="35" t="s">
        <v>532</v>
      </c>
      <c r="H4" s="44">
        <v>45</v>
      </c>
      <c r="I4" s="44">
        <v>510</v>
      </c>
      <c r="J4" s="35" t="s">
        <v>523</v>
      </c>
      <c r="K4" s="35" t="s">
        <v>113</v>
      </c>
      <c r="L4" s="44">
        <v>210</v>
      </c>
      <c r="M4" s="35" t="s">
        <v>113</v>
      </c>
      <c r="N4" s="35" t="s">
        <v>113</v>
      </c>
      <c r="O4" s="35" t="s">
        <v>533</v>
      </c>
    </row>
    <row r="5" spans="1:15">
      <c r="A5" s="36" t="s">
        <v>534</v>
      </c>
      <c r="B5" s="36" t="s">
        <v>90</v>
      </c>
      <c r="C5" s="36" t="s">
        <v>145</v>
      </c>
      <c r="D5" s="36" t="s">
        <v>535</v>
      </c>
      <c r="E5" s="45">
        <v>18.920000000000002</v>
      </c>
      <c r="F5" s="45">
        <v>74.66</v>
      </c>
      <c r="G5" s="36" t="s">
        <v>536</v>
      </c>
      <c r="H5" s="45">
        <v>17</v>
      </c>
      <c r="I5" s="45">
        <v>180</v>
      </c>
      <c r="J5" s="36" t="s">
        <v>537</v>
      </c>
      <c r="K5" s="36" t="s">
        <v>119</v>
      </c>
      <c r="L5" s="45">
        <v>165</v>
      </c>
      <c r="M5" s="36" t="s">
        <v>119</v>
      </c>
      <c r="N5" s="36" t="s">
        <v>119</v>
      </c>
      <c r="O5" s="36" t="s">
        <v>538</v>
      </c>
    </row>
    <row r="6" spans="1:15">
      <c r="A6" s="35" t="s">
        <v>539</v>
      </c>
      <c r="B6" s="35" t="s">
        <v>90</v>
      </c>
      <c r="C6" s="35" t="s">
        <v>130</v>
      </c>
      <c r="D6" s="35" t="s">
        <v>540</v>
      </c>
      <c r="E6" s="44">
        <v>17.690000000000001</v>
      </c>
      <c r="F6" s="44">
        <v>75.69</v>
      </c>
      <c r="G6" s="35" t="s">
        <v>541</v>
      </c>
      <c r="H6" s="44">
        <v>31</v>
      </c>
      <c r="I6" s="44">
        <v>350</v>
      </c>
      <c r="J6" s="35" t="s">
        <v>523</v>
      </c>
      <c r="K6" s="35" t="s">
        <v>113</v>
      </c>
      <c r="L6" s="44">
        <v>195</v>
      </c>
      <c r="M6" s="35" t="s">
        <v>113</v>
      </c>
      <c r="N6" s="35" t="s">
        <v>113</v>
      </c>
      <c r="O6" s="35" t="s">
        <v>542</v>
      </c>
    </row>
    <row r="7" spans="1:15">
      <c r="A7" s="36" t="s">
        <v>543</v>
      </c>
      <c r="B7" s="36" t="s">
        <v>90</v>
      </c>
      <c r="C7" s="36" t="s">
        <v>130</v>
      </c>
      <c r="D7" s="36" t="s">
        <v>544</v>
      </c>
      <c r="E7" s="45">
        <v>17.52</v>
      </c>
      <c r="F7" s="45">
        <v>75.459999999999994</v>
      </c>
      <c r="G7" s="36" t="s">
        <v>545</v>
      </c>
      <c r="H7" s="45">
        <v>12</v>
      </c>
      <c r="I7" s="45">
        <v>130</v>
      </c>
      <c r="J7" s="36" t="s">
        <v>528</v>
      </c>
      <c r="K7" s="36" t="s">
        <v>95</v>
      </c>
      <c r="L7" s="45">
        <v>120</v>
      </c>
      <c r="M7" s="36" t="s">
        <v>95</v>
      </c>
      <c r="N7" s="36" t="s">
        <v>95</v>
      </c>
      <c r="O7" s="36" t="s">
        <v>546</v>
      </c>
    </row>
    <row r="8" spans="1:15">
      <c r="A8" s="35" t="s">
        <v>547</v>
      </c>
      <c r="B8" s="35" t="s">
        <v>90</v>
      </c>
      <c r="C8" s="35" t="s">
        <v>166</v>
      </c>
      <c r="D8" s="35" t="s">
        <v>548</v>
      </c>
      <c r="E8" s="44">
        <v>17.29</v>
      </c>
      <c r="F8" s="44">
        <v>74.180000000000007</v>
      </c>
      <c r="G8" s="35" t="s">
        <v>549</v>
      </c>
      <c r="H8" s="44">
        <v>28</v>
      </c>
      <c r="I8" s="44">
        <v>300</v>
      </c>
      <c r="J8" s="35" t="s">
        <v>523</v>
      </c>
      <c r="K8" s="35" t="s">
        <v>119</v>
      </c>
      <c r="L8" s="44">
        <v>175</v>
      </c>
      <c r="M8" s="35" t="s">
        <v>119</v>
      </c>
      <c r="N8" s="35" t="s">
        <v>113</v>
      </c>
      <c r="O8" s="35" t="s">
        <v>550</v>
      </c>
    </row>
    <row r="9" spans="1:15">
      <c r="A9" s="36" t="s">
        <v>551</v>
      </c>
      <c r="B9" s="36" t="s">
        <v>90</v>
      </c>
      <c r="C9" s="36" t="s">
        <v>139</v>
      </c>
      <c r="D9" s="36" t="s">
        <v>552</v>
      </c>
      <c r="E9" s="45">
        <v>20.079999999999998</v>
      </c>
      <c r="F9" s="45">
        <v>74.12</v>
      </c>
      <c r="G9" s="36" t="s">
        <v>553</v>
      </c>
      <c r="H9" s="45">
        <v>19</v>
      </c>
      <c r="I9" s="45">
        <v>215</v>
      </c>
      <c r="J9" s="36" t="s">
        <v>537</v>
      </c>
      <c r="K9" s="36" t="s">
        <v>119</v>
      </c>
      <c r="L9" s="45">
        <v>155</v>
      </c>
      <c r="M9" s="36" t="s">
        <v>119</v>
      </c>
      <c r="N9" s="36" t="s">
        <v>119</v>
      </c>
      <c r="O9" s="36" t="s">
        <v>554</v>
      </c>
    </row>
    <row r="10" spans="1:15">
      <c r="A10" s="35" t="s">
        <v>555</v>
      </c>
      <c r="B10" s="35" t="s">
        <v>90</v>
      </c>
      <c r="C10" s="35" t="s">
        <v>91</v>
      </c>
      <c r="D10" s="35" t="s">
        <v>556</v>
      </c>
      <c r="E10" s="44">
        <v>18.73</v>
      </c>
      <c r="F10" s="44">
        <v>73.08</v>
      </c>
      <c r="G10" s="35" t="s">
        <v>557</v>
      </c>
      <c r="H10" s="44">
        <v>9</v>
      </c>
      <c r="I10" s="44">
        <v>95</v>
      </c>
      <c r="J10" s="35" t="s">
        <v>528</v>
      </c>
      <c r="K10" s="35" t="s">
        <v>95</v>
      </c>
      <c r="L10" s="44">
        <v>105</v>
      </c>
      <c r="M10" s="35" t="s">
        <v>95</v>
      </c>
      <c r="N10" s="35" t="s">
        <v>95</v>
      </c>
      <c r="O10" s="35" t="s">
        <v>558</v>
      </c>
    </row>
    <row r="11" spans="1:15">
      <c r="A11" s="36" t="s">
        <v>559</v>
      </c>
      <c r="B11" s="36" t="s">
        <v>90</v>
      </c>
      <c r="C11" s="36" t="s">
        <v>116</v>
      </c>
      <c r="D11" s="36" t="s">
        <v>560</v>
      </c>
      <c r="E11" s="45">
        <v>17.760000000000002</v>
      </c>
      <c r="F11" s="45">
        <v>73.180000000000007</v>
      </c>
      <c r="G11" s="36" t="s">
        <v>541</v>
      </c>
      <c r="H11" s="45">
        <v>6</v>
      </c>
      <c r="I11" s="45">
        <v>60</v>
      </c>
      <c r="J11" s="36" t="s">
        <v>528</v>
      </c>
      <c r="K11" s="36" t="s">
        <v>95</v>
      </c>
      <c r="L11" s="45">
        <v>90</v>
      </c>
      <c r="M11" s="36" t="s">
        <v>95</v>
      </c>
      <c r="N11" s="36" t="s">
        <v>95</v>
      </c>
      <c r="O11" s="36" t="s">
        <v>561</v>
      </c>
    </row>
    <row r="12" spans="1:15">
      <c r="A12" s="35" t="s">
        <v>562</v>
      </c>
      <c r="B12" s="35" t="s">
        <v>196</v>
      </c>
      <c r="C12" s="35" t="s">
        <v>200</v>
      </c>
      <c r="D12" s="35" t="s">
        <v>563</v>
      </c>
      <c r="E12" s="44">
        <v>31.84</v>
      </c>
      <c r="F12" s="44">
        <v>74.75</v>
      </c>
      <c r="G12" s="35" t="s">
        <v>564</v>
      </c>
      <c r="H12" s="44">
        <v>14</v>
      </c>
      <c r="I12" s="44">
        <v>155</v>
      </c>
      <c r="J12" s="35" t="s">
        <v>523</v>
      </c>
      <c r="K12" s="35" t="s">
        <v>119</v>
      </c>
      <c r="L12" s="44">
        <v>140</v>
      </c>
      <c r="M12" s="35" t="s">
        <v>119</v>
      </c>
      <c r="N12" s="35" t="s">
        <v>119</v>
      </c>
      <c r="O12" s="35" t="s">
        <v>565</v>
      </c>
    </row>
    <row r="13" spans="1:15">
      <c r="A13" s="36" t="s">
        <v>566</v>
      </c>
      <c r="B13" s="36" t="s">
        <v>196</v>
      </c>
      <c r="C13" s="36" t="s">
        <v>200</v>
      </c>
      <c r="D13" s="36" t="s">
        <v>567</v>
      </c>
      <c r="E13" s="45">
        <v>31.45</v>
      </c>
      <c r="F13" s="45">
        <v>74.930000000000007</v>
      </c>
      <c r="G13" s="36" t="s">
        <v>568</v>
      </c>
      <c r="H13" s="45">
        <v>11</v>
      </c>
      <c r="I13" s="45">
        <v>120</v>
      </c>
      <c r="J13" s="36" t="s">
        <v>528</v>
      </c>
      <c r="K13" s="36" t="s">
        <v>95</v>
      </c>
      <c r="L13" s="45">
        <v>110</v>
      </c>
      <c r="M13" s="36" t="s">
        <v>95</v>
      </c>
      <c r="N13" s="36" t="s">
        <v>95</v>
      </c>
      <c r="O13" s="36" t="s">
        <v>569</v>
      </c>
    </row>
    <row r="14" spans="1:15">
      <c r="A14" s="35" t="s">
        <v>570</v>
      </c>
      <c r="B14" s="35" t="s">
        <v>196</v>
      </c>
      <c r="C14" s="35" t="s">
        <v>197</v>
      </c>
      <c r="D14" s="35" t="s">
        <v>571</v>
      </c>
      <c r="E14" s="44">
        <v>33.25</v>
      </c>
      <c r="F14" s="44">
        <v>73.3</v>
      </c>
      <c r="G14" s="35" t="s">
        <v>572</v>
      </c>
      <c r="H14" s="44">
        <v>19</v>
      </c>
      <c r="I14" s="44">
        <v>210</v>
      </c>
      <c r="J14" s="35" t="s">
        <v>523</v>
      </c>
      <c r="K14" s="35" t="s">
        <v>113</v>
      </c>
      <c r="L14" s="44">
        <v>160</v>
      </c>
      <c r="M14" s="35" t="s">
        <v>113</v>
      </c>
      <c r="N14" s="35" t="s">
        <v>113</v>
      </c>
      <c r="O14" s="35" t="s">
        <v>573</v>
      </c>
    </row>
    <row r="15" spans="1:15">
      <c r="A15" s="36" t="s">
        <v>574</v>
      </c>
      <c r="B15" s="36" t="s">
        <v>196</v>
      </c>
      <c r="C15" s="36" t="s">
        <v>197</v>
      </c>
      <c r="D15" s="36" t="s">
        <v>575</v>
      </c>
      <c r="E15" s="45">
        <v>33.770000000000003</v>
      </c>
      <c r="F15" s="45">
        <v>72.36</v>
      </c>
      <c r="G15" s="36" t="s">
        <v>576</v>
      </c>
      <c r="H15" s="45">
        <v>8</v>
      </c>
      <c r="I15" s="45">
        <v>85</v>
      </c>
      <c r="J15" s="36" t="s">
        <v>528</v>
      </c>
      <c r="K15" s="36" t="s">
        <v>119</v>
      </c>
      <c r="L15" s="45">
        <v>105</v>
      </c>
      <c r="M15" s="36" t="s">
        <v>95</v>
      </c>
      <c r="N15" s="36" t="s">
        <v>119</v>
      </c>
      <c r="O15" s="36" t="s">
        <v>577</v>
      </c>
    </row>
    <row r="16" spans="1:15">
      <c r="A16" s="35" t="s">
        <v>578</v>
      </c>
      <c r="B16" s="35" t="s">
        <v>196</v>
      </c>
      <c r="C16" s="35" t="s">
        <v>218</v>
      </c>
      <c r="D16" s="35" t="s">
        <v>579</v>
      </c>
      <c r="E16" s="44">
        <v>31.12</v>
      </c>
      <c r="F16" s="44">
        <v>74.45</v>
      </c>
      <c r="G16" s="35" t="s">
        <v>580</v>
      </c>
      <c r="H16" s="44">
        <v>24</v>
      </c>
      <c r="I16" s="44">
        <v>275</v>
      </c>
      <c r="J16" s="35" t="s">
        <v>523</v>
      </c>
      <c r="K16" s="35" t="s">
        <v>113</v>
      </c>
      <c r="L16" s="44">
        <v>180</v>
      </c>
      <c r="M16" s="35" t="s">
        <v>113</v>
      </c>
      <c r="N16" s="35" t="s">
        <v>113</v>
      </c>
      <c r="O16" s="35" t="s">
        <v>581</v>
      </c>
    </row>
    <row r="17" spans="1:15">
      <c r="A17" s="36" t="s">
        <v>582</v>
      </c>
      <c r="B17" s="36" t="s">
        <v>196</v>
      </c>
      <c r="C17" s="36" t="s">
        <v>218</v>
      </c>
      <c r="D17" s="36" t="s">
        <v>583</v>
      </c>
      <c r="E17" s="45">
        <v>30.96</v>
      </c>
      <c r="F17" s="45">
        <v>73.98</v>
      </c>
      <c r="G17" s="36" t="s">
        <v>584</v>
      </c>
      <c r="H17" s="45">
        <v>16</v>
      </c>
      <c r="I17" s="45">
        <v>170</v>
      </c>
      <c r="J17" s="36" t="s">
        <v>537</v>
      </c>
      <c r="K17" s="36" t="s">
        <v>119</v>
      </c>
      <c r="L17" s="45">
        <v>145</v>
      </c>
      <c r="M17" s="36" t="s">
        <v>119</v>
      </c>
      <c r="N17" s="36" t="s">
        <v>119</v>
      </c>
      <c r="O17" s="36" t="s">
        <v>585</v>
      </c>
    </row>
    <row r="18" spans="1:15">
      <c r="A18" s="35" t="s">
        <v>586</v>
      </c>
      <c r="B18" s="35" t="s">
        <v>196</v>
      </c>
      <c r="C18" s="35" t="s">
        <v>204</v>
      </c>
      <c r="D18" s="35" t="s">
        <v>587</v>
      </c>
      <c r="E18" s="44">
        <v>29.88</v>
      </c>
      <c r="F18" s="44">
        <v>71.290000000000006</v>
      </c>
      <c r="G18" s="35" t="s">
        <v>588</v>
      </c>
      <c r="H18" s="44">
        <v>20</v>
      </c>
      <c r="I18" s="44">
        <v>230</v>
      </c>
      <c r="J18" s="35" t="s">
        <v>523</v>
      </c>
      <c r="K18" s="35" t="s">
        <v>113</v>
      </c>
      <c r="L18" s="44">
        <v>170</v>
      </c>
      <c r="M18" s="35" t="s">
        <v>113</v>
      </c>
      <c r="N18" s="35" t="s">
        <v>113</v>
      </c>
      <c r="O18" s="35" t="s">
        <v>589</v>
      </c>
    </row>
    <row r="19" spans="1:15">
      <c r="A19" s="36" t="s">
        <v>590</v>
      </c>
      <c r="B19" s="36" t="s">
        <v>196</v>
      </c>
      <c r="C19" s="36" t="s">
        <v>204</v>
      </c>
      <c r="D19" s="36" t="s">
        <v>591</v>
      </c>
      <c r="E19" s="45">
        <v>29.53</v>
      </c>
      <c r="F19" s="45">
        <v>71.63</v>
      </c>
      <c r="G19" s="36" t="s">
        <v>592</v>
      </c>
      <c r="H19" s="45">
        <v>10</v>
      </c>
      <c r="I19" s="45">
        <v>110</v>
      </c>
      <c r="J19" s="36" t="s">
        <v>528</v>
      </c>
      <c r="K19" s="36" t="s">
        <v>95</v>
      </c>
      <c r="L19" s="45">
        <v>115</v>
      </c>
      <c r="M19" s="36" t="s">
        <v>95</v>
      </c>
      <c r="N19" s="36" t="s">
        <v>95</v>
      </c>
      <c r="O19" s="36" t="s">
        <v>593</v>
      </c>
    </row>
    <row r="20" spans="1:15">
      <c r="A20" s="35" t="s">
        <v>594</v>
      </c>
      <c r="B20" s="35" t="s">
        <v>196</v>
      </c>
      <c r="C20" s="35" t="s">
        <v>215</v>
      </c>
      <c r="D20" s="35" t="s">
        <v>595</v>
      </c>
      <c r="E20" s="44">
        <v>32.44</v>
      </c>
      <c r="F20" s="44">
        <v>74.12</v>
      </c>
      <c r="G20" s="35" t="s">
        <v>576</v>
      </c>
      <c r="H20" s="44">
        <v>21</v>
      </c>
      <c r="I20" s="44">
        <v>240</v>
      </c>
      <c r="J20" s="35" t="s">
        <v>523</v>
      </c>
      <c r="K20" s="35" t="s">
        <v>113</v>
      </c>
      <c r="L20" s="44">
        <v>165</v>
      </c>
      <c r="M20" s="35" t="s">
        <v>113</v>
      </c>
      <c r="N20" s="35" t="s">
        <v>113</v>
      </c>
      <c r="O20" s="35" t="s">
        <v>596</v>
      </c>
    </row>
    <row r="21" spans="1:15">
      <c r="A21" s="36" t="s">
        <v>597</v>
      </c>
      <c r="B21" s="36" t="s">
        <v>196</v>
      </c>
      <c r="C21" s="36" t="s">
        <v>212</v>
      </c>
      <c r="D21" s="36" t="s">
        <v>598</v>
      </c>
      <c r="E21" s="45">
        <v>30.79</v>
      </c>
      <c r="F21" s="45">
        <v>75.47</v>
      </c>
      <c r="G21" s="36" t="s">
        <v>553</v>
      </c>
      <c r="H21" s="45">
        <v>13</v>
      </c>
      <c r="I21" s="45">
        <v>145</v>
      </c>
      <c r="J21" s="36" t="s">
        <v>528</v>
      </c>
      <c r="K21" s="36" t="s">
        <v>119</v>
      </c>
      <c r="L21" s="45">
        <v>130</v>
      </c>
      <c r="M21" s="36" t="s">
        <v>119</v>
      </c>
      <c r="N21" s="36" t="s">
        <v>119</v>
      </c>
      <c r="O21" s="36" t="s">
        <v>599</v>
      </c>
    </row>
    <row r="22" spans="1:15">
      <c r="A22" s="35" t="s">
        <v>600</v>
      </c>
      <c r="B22" s="35" t="s">
        <v>196</v>
      </c>
      <c r="C22" s="35" t="s">
        <v>209</v>
      </c>
      <c r="D22" s="35" t="s">
        <v>601</v>
      </c>
      <c r="E22" s="44">
        <v>29.1</v>
      </c>
      <c r="F22" s="44">
        <v>75.97</v>
      </c>
      <c r="G22" s="35" t="s">
        <v>557</v>
      </c>
      <c r="H22" s="44">
        <v>16</v>
      </c>
      <c r="I22" s="44">
        <v>180</v>
      </c>
      <c r="J22" s="35" t="s">
        <v>523</v>
      </c>
      <c r="K22" s="35" t="s">
        <v>119</v>
      </c>
      <c r="L22" s="44">
        <v>150</v>
      </c>
      <c r="M22" s="35" t="s">
        <v>119</v>
      </c>
      <c r="N22" s="35" t="s">
        <v>113</v>
      </c>
      <c r="O22" s="35" t="s">
        <v>602</v>
      </c>
    </row>
    <row r="23" spans="1:15">
      <c r="A23" s="36" t="s">
        <v>603</v>
      </c>
      <c r="B23" s="36" t="s">
        <v>248</v>
      </c>
      <c r="C23" s="36" t="s">
        <v>253</v>
      </c>
      <c r="D23" s="36" t="s">
        <v>604</v>
      </c>
      <c r="E23" s="45">
        <v>22.71</v>
      </c>
      <c r="F23" s="45">
        <v>87.72</v>
      </c>
      <c r="G23" s="36" t="s">
        <v>541</v>
      </c>
      <c r="H23" s="45">
        <v>33</v>
      </c>
      <c r="I23" s="45">
        <v>380</v>
      </c>
      <c r="J23" s="36" t="s">
        <v>523</v>
      </c>
      <c r="K23" s="36" t="s">
        <v>113</v>
      </c>
      <c r="L23" s="45">
        <v>200</v>
      </c>
      <c r="M23" s="36" t="s">
        <v>113</v>
      </c>
      <c r="N23" s="36" t="s">
        <v>113</v>
      </c>
      <c r="O23" s="36" t="s">
        <v>605</v>
      </c>
    </row>
    <row r="24" spans="1:15">
      <c r="A24" s="35" t="s">
        <v>606</v>
      </c>
      <c r="B24" s="35" t="s">
        <v>248</v>
      </c>
      <c r="C24" s="35" t="s">
        <v>607</v>
      </c>
      <c r="D24" s="35" t="s">
        <v>608</v>
      </c>
      <c r="E24" s="44">
        <v>23.64</v>
      </c>
      <c r="F24" s="44">
        <v>88.13</v>
      </c>
      <c r="G24" s="35" t="s">
        <v>609</v>
      </c>
      <c r="H24" s="44">
        <v>27</v>
      </c>
      <c r="I24" s="44">
        <v>310</v>
      </c>
      <c r="J24" s="35" t="s">
        <v>537</v>
      </c>
      <c r="K24" s="35" t="s">
        <v>113</v>
      </c>
      <c r="L24" s="44">
        <v>190</v>
      </c>
      <c r="M24" s="35" t="s">
        <v>113</v>
      </c>
      <c r="N24" s="35" t="s">
        <v>113</v>
      </c>
      <c r="O24" s="35" t="s">
        <v>610</v>
      </c>
    </row>
    <row r="25" spans="1:15">
      <c r="A25" s="36" t="s">
        <v>611</v>
      </c>
      <c r="B25" s="36" t="s">
        <v>248</v>
      </c>
      <c r="C25" s="36" t="s">
        <v>249</v>
      </c>
      <c r="D25" s="36" t="s">
        <v>612</v>
      </c>
      <c r="E25" s="45">
        <v>23.16</v>
      </c>
      <c r="F25" s="45">
        <v>90.2</v>
      </c>
      <c r="G25" s="36" t="s">
        <v>588</v>
      </c>
      <c r="H25" s="45">
        <v>14</v>
      </c>
      <c r="I25" s="45">
        <v>160</v>
      </c>
      <c r="J25" s="36" t="s">
        <v>528</v>
      </c>
      <c r="K25" s="36" t="s">
        <v>119</v>
      </c>
      <c r="L25" s="45">
        <v>135</v>
      </c>
      <c r="M25" s="36" t="s">
        <v>119</v>
      </c>
      <c r="N25" s="36" t="s">
        <v>119</v>
      </c>
      <c r="O25" s="36" t="s">
        <v>613</v>
      </c>
    </row>
    <row r="26" spans="1:15">
      <c r="A26" s="35" t="s">
        <v>614</v>
      </c>
      <c r="B26" s="35" t="s">
        <v>257</v>
      </c>
      <c r="C26" s="35" t="s">
        <v>615</v>
      </c>
      <c r="D26" s="35" t="s">
        <v>616</v>
      </c>
      <c r="E26" s="44">
        <v>15.48</v>
      </c>
      <c r="F26" s="44">
        <v>78.48</v>
      </c>
      <c r="G26" s="35" t="s">
        <v>572</v>
      </c>
      <c r="H26" s="44">
        <v>18</v>
      </c>
      <c r="I26" s="44">
        <v>200</v>
      </c>
      <c r="J26" s="35" t="s">
        <v>523</v>
      </c>
      <c r="K26" s="35" t="s">
        <v>113</v>
      </c>
      <c r="L26" s="44">
        <v>155</v>
      </c>
      <c r="M26" s="35" t="s">
        <v>119</v>
      </c>
      <c r="N26" s="35" t="s">
        <v>113</v>
      </c>
      <c r="O26" s="35" t="s">
        <v>617</v>
      </c>
    </row>
    <row r="27" spans="1:15">
      <c r="A27" s="36" t="s">
        <v>618</v>
      </c>
      <c r="B27" s="36" t="s">
        <v>257</v>
      </c>
      <c r="C27" s="36" t="s">
        <v>619</v>
      </c>
      <c r="D27" s="36" t="s">
        <v>620</v>
      </c>
      <c r="E27" s="45">
        <v>15.27</v>
      </c>
      <c r="F27" s="45">
        <v>76.39</v>
      </c>
      <c r="G27" s="36" t="s">
        <v>557</v>
      </c>
      <c r="H27" s="45">
        <v>12</v>
      </c>
      <c r="I27" s="45">
        <v>135</v>
      </c>
      <c r="J27" s="36" t="s">
        <v>528</v>
      </c>
      <c r="K27" s="36" t="s">
        <v>95</v>
      </c>
      <c r="L27" s="45">
        <v>125</v>
      </c>
      <c r="M27" s="36" t="s">
        <v>95</v>
      </c>
      <c r="N27" s="36" t="s">
        <v>95</v>
      </c>
      <c r="O27" s="36" t="s">
        <v>621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5" defaultRowHeight="16"/>
  <cols>
    <col min="1" max="2" width="10" customWidth="1"/>
    <col min="3" max="3" width="14" customWidth="1"/>
    <col min="4" max="4" width="6" customWidth="1"/>
    <col min="5" max="5" width="18" customWidth="1"/>
    <col min="6" max="6" width="10" customWidth="1"/>
    <col min="7" max="8" width="16" customWidth="1"/>
    <col min="9" max="11" width="18" customWidth="1"/>
    <col min="12" max="12" width="10" customWidth="1"/>
    <col min="13" max="14" width="12" customWidth="1"/>
    <col min="15" max="15" width="18" customWidth="1"/>
    <col min="16" max="16" width="22" customWidth="1"/>
    <col min="17" max="17" width="18" customWidth="1"/>
    <col min="18" max="18" width="36" customWidth="1"/>
  </cols>
  <sheetData>
    <row r="1" spans="1:18" ht="31.5" customHeight="1">
      <c r="A1" s="43" t="s">
        <v>622</v>
      </c>
      <c r="B1" s="43" t="s">
        <v>11</v>
      </c>
      <c r="C1" s="43" t="s">
        <v>12</v>
      </c>
      <c r="D1" s="43" t="s">
        <v>391</v>
      </c>
      <c r="E1" s="43" t="s">
        <v>14</v>
      </c>
      <c r="F1" s="43" t="s">
        <v>16</v>
      </c>
      <c r="G1" s="43" t="s">
        <v>623</v>
      </c>
      <c r="H1" s="43" t="s">
        <v>303</v>
      </c>
      <c r="I1" s="43" t="s">
        <v>624</v>
      </c>
      <c r="J1" s="43" t="s">
        <v>625</v>
      </c>
      <c r="K1" s="43" t="s">
        <v>626</v>
      </c>
      <c r="L1" s="43" t="s">
        <v>301</v>
      </c>
      <c r="M1" s="43" t="s">
        <v>627</v>
      </c>
      <c r="N1" s="43" t="s">
        <v>34</v>
      </c>
      <c r="O1" s="43" t="s">
        <v>628</v>
      </c>
      <c r="P1" s="43" t="s">
        <v>629</v>
      </c>
      <c r="Q1" s="43" t="s">
        <v>630</v>
      </c>
      <c r="R1" s="43" t="s">
        <v>397</v>
      </c>
    </row>
    <row r="2" spans="1:18">
      <c r="A2" s="35" t="s">
        <v>631</v>
      </c>
      <c r="B2" s="35" t="s">
        <v>90</v>
      </c>
      <c r="C2" s="35" t="s">
        <v>91</v>
      </c>
      <c r="D2" s="35">
        <v>1915</v>
      </c>
      <c r="E2" s="35" t="s">
        <v>93</v>
      </c>
      <c r="F2" s="35" t="s">
        <v>118</v>
      </c>
      <c r="G2" s="44">
        <v>50</v>
      </c>
      <c r="H2" s="44">
        <v>4</v>
      </c>
      <c r="I2" s="44">
        <v>15</v>
      </c>
      <c r="J2" s="44">
        <v>14</v>
      </c>
      <c r="K2" s="44">
        <v>29</v>
      </c>
      <c r="L2" s="35" t="s">
        <v>402</v>
      </c>
      <c r="M2" s="35" t="s">
        <v>402</v>
      </c>
      <c r="N2" s="35" t="s">
        <v>136</v>
      </c>
      <c r="O2" s="35" t="s">
        <v>632</v>
      </c>
      <c r="P2" s="35" t="s">
        <v>633</v>
      </c>
      <c r="Q2" s="35" t="s">
        <v>109</v>
      </c>
      <c r="R2" s="35" t="s">
        <v>634</v>
      </c>
    </row>
    <row r="3" spans="1:18">
      <c r="A3" s="36" t="s">
        <v>635</v>
      </c>
      <c r="B3" s="36" t="s">
        <v>196</v>
      </c>
      <c r="C3" s="36" t="s">
        <v>218</v>
      </c>
      <c r="D3" s="36">
        <v>1922</v>
      </c>
      <c r="E3" s="36" t="s">
        <v>93</v>
      </c>
      <c r="F3" s="36" t="s">
        <v>94</v>
      </c>
      <c r="G3" s="45">
        <v>111</v>
      </c>
      <c r="H3" s="45">
        <v>7</v>
      </c>
      <c r="I3" s="45">
        <v>11</v>
      </c>
      <c r="J3" s="45">
        <v>22</v>
      </c>
      <c r="K3" s="45">
        <v>33</v>
      </c>
      <c r="L3" s="36" t="s">
        <v>401</v>
      </c>
      <c r="M3" s="36" t="s">
        <v>402</v>
      </c>
      <c r="N3" s="36" t="s">
        <v>105</v>
      </c>
      <c r="O3" s="36" t="s">
        <v>632</v>
      </c>
      <c r="P3" s="36" t="s">
        <v>636</v>
      </c>
      <c r="Q3" s="36" t="s">
        <v>109</v>
      </c>
      <c r="R3" s="36" t="s">
        <v>637</v>
      </c>
    </row>
    <row r="4" spans="1:18">
      <c r="A4" s="35" t="s">
        <v>638</v>
      </c>
      <c r="B4" s="35" t="s">
        <v>90</v>
      </c>
      <c r="C4" s="35" t="s">
        <v>116</v>
      </c>
      <c r="D4" s="35">
        <v>1891</v>
      </c>
      <c r="E4" s="35" t="s">
        <v>141</v>
      </c>
      <c r="F4" s="35" t="s">
        <v>118</v>
      </c>
      <c r="G4" s="44">
        <v>17</v>
      </c>
      <c r="H4" s="44">
        <v>2</v>
      </c>
      <c r="I4" s="44">
        <v>7</v>
      </c>
      <c r="J4" s="44">
        <v>8</v>
      </c>
      <c r="K4" s="44">
        <v>15</v>
      </c>
      <c r="L4" s="35" t="s">
        <v>401</v>
      </c>
      <c r="M4" s="35" t="s">
        <v>402</v>
      </c>
      <c r="N4" s="35" t="s">
        <v>105</v>
      </c>
      <c r="O4" s="35" t="s">
        <v>639</v>
      </c>
      <c r="P4" s="35" t="s">
        <v>147</v>
      </c>
      <c r="Q4" s="35" t="s">
        <v>109</v>
      </c>
      <c r="R4" s="35" t="s">
        <v>634</v>
      </c>
    </row>
    <row r="5" spans="1:18">
      <c r="A5" s="36" t="s">
        <v>640</v>
      </c>
      <c r="B5" s="36" t="s">
        <v>90</v>
      </c>
      <c r="C5" s="36" t="s">
        <v>145</v>
      </c>
      <c r="D5" s="36">
        <v>1906</v>
      </c>
      <c r="E5" s="36" t="s">
        <v>93</v>
      </c>
      <c r="F5" s="36" t="s">
        <v>118</v>
      </c>
      <c r="G5" s="45">
        <v>7</v>
      </c>
      <c r="H5" s="45">
        <v>2</v>
      </c>
      <c r="I5" s="45">
        <v>17</v>
      </c>
      <c r="J5" s="45">
        <v>7</v>
      </c>
      <c r="K5" s="45">
        <v>24</v>
      </c>
      <c r="L5" s="36" t="s">
        <v>401</v>
      </c>
      <c r="M5" s="36" t="s">
        <v>402</v>
      </c>
      <c r="N5" s="36" t="s">
        <v>105</v>
      </c>
      <c r="O5" s="36" t="s">
        <v>632</v>
      </c>
      <c r="P5" s="36" t="s">
        <v>633</v>
      </c>
      <c r="Q5" s="36" t="s">
        <v>137</v>
      </c>
      <c r="R5" s="36" t="s">
        <v>634</v>
      </c>
    </row>
    <row r="6" spans="1:18">
      <c r="A6" s="35" t="s">
        <v>641</v>
      </c>
      <c r="B6" s="35" t="s">
        <v>90</v>
      </c>
      <c r="C6" s="35" t="s">
        <v>130</v>
      </c>
      <c r="D6" s="35">
        <v>1917</v>
      </c>
      <c r="E6" s="35" t="s">
        <v>141</v>
      </c>
      <c r="F6" s="35" t="s">
        <v>142</v>
      </c>
      <c r="G6" s="44">
        <v>20</v>
      </c>
      <c r="H6" s="44">
        <v>0</v>
      </c>
      <c r="I6" s="44">
        <v>5</v>
      </c>
      <c r="J6" s="44">
        <v>7</v>
      </c>
      <c r="K6" s="44">
        <v>12</v>
      </c>
      <c r="L6" s="35" t="s">
        <v>402</v>
      </c>
      <c r="M6" s="35" t="s">
        <v>402</v>
      </c>
      <c r="N6" s="35" t="s">
        <v>136</v>
      </c>
      <c r="O6" s="35" t="s">
        <v>639</v>
      </c>
      <c r="P6" s="35" t="s">
        <v>636</v>
      </c>
      <c r="Q6" s="35" t="s">
        <v>109</v>
      </c>
      <c r="R6" s="35" t="s">
        <v>634</v>
      </c>
    </row>
    <row r="7" spans="1:18">
      <c r="A7" s="36" t="s">
        <v>642</v>
      </c>
      <c r="B7" s="36" t="s">
        <v>196</v>
      </c>
      <c r="C7" s="36" t="s">
        <v>218</v>
      </c>
      <c r="D7" s="36">
        <v>1909</v>
      </c>
      <c r="E7" s="36" t="s">
        <v>93</v>
      </c>
      <c r="F7" s="36" t="s">
        <v>94</v>
      </c>
      <c r="G7" s="45">
        <v>120</v>
      </c>
      <c r="H7" s="45">
        <v>7</v>
      </c>
      <c r="I7" s="45">
        <v>30</v>
      </c>
      <c r="J7" s="45">
        <v>6</v>
      </c>
      <c r="K7" s="45">
        <v>36</v>
      </c>
      <c r="L7" s="36" t="s">
        <v>401</v>
      </c>
      <c r="M7" s="36" t="s">
        <v>402</v>
      </c>
      <c r="N7" s="36" t="s">
        <v>105</v>
      </c>
      <c r="O7" s="36" t="s">
        <v>632</v>
      </c>
      <c r="P7" s="36" t="s">
        <v>135</v>
      </c>
      <c r="Q7" s="36" t="s">
        <v>127</v>
      </c>
      <c r="R7" s="36" t="s">
        <v>637</v>
      </c>
    </row>
    <row r="8" spans="1:18">
      <c r="A8" s="35" t="s">
        <v>643</v>
      </c>
      <c r="B8" s="35" t="s">
        <v>90</v>
      </c>
      <c r="C8" s="35" t="s">
        <v>139</v>
      </c>
      <c r="D8" s="35">
        <v>1881</v>
      </c>
      <c r="E8" s="35" t="s">
        <v>141</v>
      </c>
      <c r="F8" s="35" t="s">
        <v>142</v>
      </c>
      <c r="G8" s="44">
        <v>28</v>
      </c>
      <c r="H8" s="44">
        <v>1</v>
      </c>
      <c r="I8" s="44">
        <v>11</v>
      </c>
      <c r="J8" s="44">
        <v>6</v>
      </c>
      <c r="K8" s="44">
        <v>17</v>
      </c>
      <c r="L8" s="35" t="s">
        <v>402</v>
      </c>
      <c r="M8" s="35" t="s">
        <v>402</v>
      </c>
      <c r="N8" s="35" t="s">
        <v>136</v>
      </c>
      <c r="O8" s="35" t="s">
        <v>639</v>
      </c>
      <c r="P8" s="35" t="s">
        <v>147</v>
      </c>
      <c r="Q8" s="35" t="s">
        <v>137</v>
      </c>
      <c r="R8" s="35" t="s">
        <v>634</v>
      </c>
    </row>
    <row r="9" spans="1:18">
      <c r="A9" s="36" t="s">
        <v>644</v>
      </c>
      <c r="B9" s="36" t="s">
        <v>248</v>
      </c>
      <c r="C9" s="36" t="s">
        <v>645</v>
      </c>
      <c r="D9" s="36">
        <v>1913</v>
      </c>
      <c r="E9" s="36" t="s">
        <v>168</v>
      </c>
      <c r="F9" s="36" t="s">
        <v>142</v>
      </c>
      <c r="G9" s="45">
        <v>110</v>
      </c>
      <c r="H9" s="45">
        <v>0</v>
      </c>
      <c r="I9" s="45">
        <v>15</v>
      </c>
      <c r="J9" s="45">
        <v>11</v>
      </c>
      <c r="K9" s="45">
        <v>26</v>
      </c>
      <c r="L9" s="36" t="s">
        <v>401</v>
      </c>
      <c r="M9" s="36" t="s">
        <v>402</v>
      </c>
      <c r="N9" s="36" t="s">
        <v>105</v>
      </c>
      <c r="O9" s="36" t="s">
        <v>632</v>
      </c>
      <c r="P9" s="36" t="s">
        <v>646</v>
      </c>
      <c r="Q9" s="36" t="s">
        <v>137</v>
      </c>
      <c r="R9" s="36" t="s">
        <v>647</v>
      </c>
    </row>
    <row r="10" spans="1:18">
      <c r="A10" s="35" t="s">
        <v>648</v>
      </c>
      <c r="B10" s="35" t="s">
        <v>90</v>
      </c>
      <c r="C10" s="35" t="s">
        <v>91</v>
      </c>
      <c r="D10" s="35">
        <v>1885</v>
      </c>
      <c r="E10" s="35" t="s">
        <v>168</v>
      </c>
      <c r="F10" s="35" t="s">
        <v>118</v>
      </c>
      <c r="G10" s="44">
        <v>24</v>
      </c>
      <c r="H10" s="44">
        <v>2</v>
      </c>
      <c r="I10" s="44">
        <v>3</v>
      </c>
      <c r="J10" s="44">
        <v>8</v>
      </c>
      <c r="K10" s="44">
        <v>11</v>
      </c>
      <c r="L10" s="35" t="s">
        <v>402</v>
      </c>
      <c r="M10" s="35" t="s">
        <v>402</v>
      </c>
      <c r="N10" s="35" t="s">
        <v>136</v>
      </c>
      <c r="O10" s="35" t="s">
        <v>649</v>
      </c>
      <c r="P10" s="35" t="s">
        <v>147</v>
      </c>
      <c r="Q10" s="35" t="s">
        <v>109</v>
      </c>
      <c r="R10" s="35" t="s">
        <v>634</v>
      </c>
    </row>
    <row r="11" spans="1:18">
      <c r="A11" s="36" t="s">
        <v>650</v>
      </c>
      <c r="B11" s="36" t="s">
        <v>90</v>
      </c>
      <c r="C11" s="36" t="s">
        <v>130</v>
      </c>
      <c r="D11" s="36">
        <v>1916</v>
      </c>
      <c r="E11" s="36" t="s">
        <v>168</v>
      </c>
      <c r="F11" s="36" t="s">
        <v>142</v>
      </c>
      <c r="G11" s="45">
        <v>90</v>
      </c>
      <c r="H11" s="45">
        <v>4</v>
      </c>
      <c r="I11" s="45">
        <v>7</v>
      </c>
      <c r="J11" s="45">
        <v>6</v>
      </c>
      <c r="K11" s="45">
        <v>13</v>
      </c>
      <c r="L11" s="36" t="s">
        <v>402</v>
      </c>
      <c r="M11" s="36" t="s">
        <v>401</v>
      </c>
      <c r="N11" s="36" t="s">
        <v>136</v>
      </c>
      <c r="O11" s="36" t="s">
        <v>639</v>
      </c>
      <c r="P11" s="36" t="s">
        <v>147</v>
      </c>
      <c r="Q11" s="36" t="s">
        <v>137</v>
      </c>
      <c r="R11" s="36" t="s">
        <v>634</v>
      </c>
    </row>
    <row r="12" spans="1:18">
      <c r="A12" s="35" t="s">
        <v>651</v>
      </c>
      <c r="B12" s="35" t="s">
        <v>90</v>
      </c>
      <c r="C12" s="35" t="s">
        <v>145</v>
      </c>
      <c r="D12" s="35">
        <v>1882</v>
      </c>
      <c r="E12" s="35" t="s">
        <v>168</v>
      </c>
      <c r="F12" s="35" t="s">
        <v>94</v>
      </c>
      <c r="G12" s="44">
        <v>44</v>
      </c>
      <c r="H12" s="44">
        <v>3</v>
      </c>
      <c r="I12" s="44">
        <v>10</v>
      </c>
      <c r="J12" s="44">
        <v>7</v>
      </c>
      <c r="K12" s="44">
        <v>17</v>
      </c>
      <c r="L12" s="35" t="s">
        <v>402</v>
      </c>
      <c r="M12" s="35" t="s">
        <v>401</v>
      </c>
      <c r="N12" s="35" t="s">
        <v>136</v>
      </c>
      <c r="O12" s="35" t="s">
        <v>639</v>
      </c>
      <c r="P12" s="35" t="s">
        <v>104</v>
      </c>
      <c r="Q12" s="35" t="s">
        <v>137</v>
      </c>
      <c r="R12" s="35" t="s">
        <v>634</v>
      </c>
    </row>
    <row r="13" spans="1:18">
      <c r="A13" s="36" t="s">
        <v>652</v>
      </c>
      <c r="B13" s="36" t="s">
        <v>257</v>
      </c>
      <c r="C13" s="36" t="s">
        <v>615</v>
      </c>
      <c r="D13" s="36">
        <v>1885</v>
      </c>
      <c r="E13" s="36" t="s">
        <v>141</v>
      </c>
      <c r="F13" s="36" t="s">
        <v>151</v>
      </c>
      <c r="G13" s="45">
        <v>97</v>
      </c>
      <c r="H13" s="45">
        <v>6</v>
      </c>
      <c r="I13" s="45">
        <v>21</v>
      </c>
      <c r="J13" s="45">
        <v>3</v>
      </c>
      <c r="K13" s="45">
        <v>24</v>
      </c>
      <c r="L13" s="36" t="s">
        <v>401</v>
      </c>
      <c r="M13" s="36" t="s">
        <v>402</v>
      </c>
      <c r="N13" s="36" t="s">
        <v>105</v>
      </c>
      <c r="O13" s="36" t="s">
        <v>632</v>
      </c>
      <c r="P13" s="36" t="s">
        <v>633</v>
      </c>
      <c r="Q13" s="36" t="s">
        <v>109</v>
      </c>
      <c r="R13" s="36" t="s">
        <v>653</v>
      </c>
    </row>
    <row r="14" spans="1:18">
      <c r="A14" s="35" t="s">
        <v>654</v>
      </c>
      <c r="B14" s="35" t="s">
        <v>90</v>
      </c>
      <c r="C14" s="35" t="s">
        <v>145</v>
      </c>
      <c r="D14" s="35">
        <v>1897</v>
      </c>
      <c r="E14" s="35" t="s">
        <v>141</v>
      </c>
      <c r="F14" s="35" t="s">
        <v>118</v>
      </c>
      <c r="G14" s="44">
        <v>59</v>
      </c>
      <c r="H14" s="44">
        <v>3</v>
      </c>
      <c r="I14" s="44">
        <v>7</v>
      </c>
      <c r="J14" s="44">
        <v>12</v>
      </c>
      <c r="K14" s="44">
        <v>19</v>
      </c>
      <c r="L14" s="35" t="s">
        <v>402</v>
      </c>
      <c r="M14" s="35" t="s">
        <v>402</v>
      </c>
      <c r="N14" s="35" t="s">
        <v>136</v>
      </c>
      <c r="O14" s="35" t="s">
        <v>639</v>
      </c>
      <c r="P14" s="35" t="s">
        <v>633</v>
      </c>
      <c r="Q14" s="35" t="s">
        <v>137</v>
      </c>
      <c r="R14" s="35" t="s">
        <v>634</v>
      </c>
    </row>
    <row r="15" spans="1:18">
      <c r="A15" s="36" t="s">
        <v>655</v>
      </c>
      <c r="B15" s="36" t="s">
        <v>196</v>
      </c>
      <c r="C15" s="36" t="s">
        <v>197</v>
      </c>
      <c r="D15" s="36">
        <v>1908</v>
      </c>
      <c r="E15" s="36" t="s">
        <v>93</v>
      </c>
      <c r="F15" s="36" t="s">
        <v>142</v>
      </c>
      <c r="G15" s="45">
        <v>137</v>
      </c>
      <c r="H15" s="45">
        <v>7</v>
      </c>
      <c r="I15" s="45">
        <v>23</v>
      </c>
      <c r="J15" s="45">
        <v>20</v>
      </c>
      <c r="K15" s="45">
        <v>43</v>
      </c>
      <c r="L15" s="36" t="s">
        <v>401</v>
      </c>
      <c r="M15" s="36" t="s">
        <v>401</v>
      </c>
      <c r="N15" s="36" t="s">
        <v>105</v>
      </c>
      <c r="O15" s="36" t="s">
        <v>632</v>
      </c>
      <c r="P15" s="36" t="s">
        <v>104</v>
      </c>
      <c r="Q15" s="36" t="s">
        <v>137</v>
      </c>
      <c r="R15" s="36" t="s">
        <v>637</v>
      </c>
    </row>
    <row r="16" spans="1:18">
      <c r="A16" s="35" t="s">
        <v>656</v>
      </c>
      <c r="B16" s="35" t="s">
        <v>196</v>
      </c>
      <c r="C16" s="35" t="s">
        <v>197</v>
      </c>
      <c r="D16" s="35">
        <v>1906</v>
      </c>
      <c r="E16" s="35" t="s">
        <v>141</v>
      </c>
      <c r="F16" s="35" t="s">
        <v>118</v>
      </c>
      <c r="G16" s="44">
        <v>42</v>
      </c>
      <c r="H16" s="44">
        <v>4</v>
      </c>
      <c r="I16" s="44">
        <v>27</v>
      </c>
      <c r="J16" s="44">
        <v>15</v>
      </c>
      <c r="K16" s="44">
        <v>42</v>
      </c>
      <c r="L16" s="35" t="s">
        <v>402</v>
      </c>
      <c r="M16" s="35" t="s">
        <v>402</v>
      </c>
      <c r="N16" s="35" t="s">
        <v>136</v>
      </c>
      <c r="O16" s="35" t="s">
        <v>632</v>
      </c>
      <c r="P16" s="35" t="s">
        <v>657</v>
      </c>
      <c r="Q16" s="35" t="s">
        <v>109</v>
      </c>
      <c r="R16" s="35" t="s">
        <v>637</v>
      </c>
    </row>
    <row r="17" spans="1:18">
      <c r="A17" s="36" t="s">
        <v>658</v>
      </c>
      <c r="B17" s="36" t="s">
        <v>90</v>
      </c>
      <c r="C17" s="36" t="s">
        <v>156</v>
      </c>
      <c r="D17" s="36">
        <v>1911</v>
      </c>
      <c r="E17" s="36" t="s">
        <v>168</v>
      </c>
      <c r="F17" s="36" t="s">
        <v>142</v>
      </c>
      <c r="G17" s="45">
        <v>20</v>
      </c>
      <c r="H17" s="45">
        <v>0</v>
      </c>
      <c r="I17" s="45">
        <v>6</v>
      </c>
      <c r="J17" s="45">
        <v>6</v>
      </c>
      <c r="K17" s="45">
        <v>12</v>
      </c>
      <c r="L17" s="36" t="s">
        <v>402</v>
      </c>
      <c r="M17" s="36" t="s">
        <v>402</v>
      </c>
      <c r="N17" s="36" t="s">
        <v>136</v>
      </c>
      <c r="O17" s="36" t="s">
        <v>639</v>
      </c>
      <c r="P17" s="36" t="s">
        <v>657</v>
      </c>
      <c r="Q17" s="36" t="s">
        <v>109</v>
      </c>
      <c r="R17" s="36" t="s">
        <v>634</v>
      </c>
    </row>
    <row r="18" spans="1:18">
      <c r="A18" s="35" t="s">
        <v>659</v>
      </c>
      <c r="B18" s="35" t="s">
        <v>248</v>
      </c>
      <c r="C18" s="35" t="s">
        <v>253</v>
      </c>
      <c r="D18" s="35">
        <v>1888</v>
      </c>
      <c r="E18" s="35" t="s">
        <v>168</v>
      </c>
      <c r="F18" s="35" t="s">
        <v>94</v>
      </c>
      <c r="G18" s="44">
        <v>60</v>
      </c>
      <c r="H18" s="44">
        <v>3</v>
      </c>
      <c r="I18" s="44">
        <v>22</v>
      </c>
      <c r="J18" s="44">
        <v>7</v>
      </c>
      <c r="K18" s="44">
        <v>29</v>
      </c>
      <c r="L18" s="35" t="s">
        <v>402</v>
      </c>
      <c r="M18" s="35" t="s">
        <v>402</v>
      </c>
      <c r="N18" s="35" t="s">
        <v>136</v>
      </c>
      <c r="O18" s="35" t="s">
        <v>632</v>
      </c>
      <c r="P18" s="35" t="s">
        <v>633</v>
      </c>
      <c r="Q18" s="35" t="s">
        <v>137</v>
      </c>
      <c r="R18" s="35" t="s">
        <v>647</v>
      </c>
    </row>
    <row r="19" spans="1:18">
      <c r="A19" s="36" t="s">
        <v>660</v>
      </c>
      <c r="B19" s="36" t="s">
        <v>90</v>
      </c>
      <c r="C19" s="36" t="s">
        <v>130</v>
      </c>
      <c r="D19" s="36">
        <v>1870</v>
      </c>
      <c r="E19" s="36" t="s">
        <v>93</v>
      </c>
      <c r="F19" s="36" t="s">
        <v>151</v>
      </c>
      <c r="G19" s="45">
        <v>51</v>
      </c>
      <c r="H19" s="45">
        <v>2</v>
      </c>
      <c r="I19" s="45">
        <v>13</v>
      </c>
      <c r="J19" s="45">
        <v>9</v>
      </c>
      <c r="K19" s="45">
        <v>22</v>
      </c>
      <c r="L19" s="36" t="s">
        <v>401</v>
      </c>
      <c r="M19" s="36" t="s">
        <v>402</v>
      </c>
      <c r="N19" s="36" t="s">
        <v>105</v>
      </c>
      <c r="O19" s="36" t="s">
        <v>639</v>
      </c>
      <c r="P19" s="36" t="s">
        <v>104</v>
      </c>
      <c r="Q19" s="36" t="s">
        <v>137</v>
      </c>
      <c r="R19" s="36" t="s">
        <v>634</v>
      </c>
    </row>
    <row r="20" spans="1:18">
      <c r="A20" s="35" t="s">
        <v>661</v>
      </c>
      <c r="B20" s="35" t="s">
        <v>196</v>
      </c>
      <c r="C20" s="35" t="s">
        <v>215</v>
      </c>
      <c r="D20" s="35">
        <v>1916</v>
      </c>
      <c r="E20" s="35" t="s">
        <v>141</v>
      </c>
      <c r="F20" s="35" t="s">
        <v>142</v>
      </c>
      <c r="G20" s="44">
        <v>96</v>
      </c>
      <c r="H20" s="44">
        <v>2</v>
      </c>
      <c r="I20" s="44">
        <v>15</v>
      </c>
      <c r="J20" s="44">
        <v>5</v>
      </c>
      <c r="K20" s="44">
        <v>20</v>
      </c>
      <c r="L20" s="35" t="s">
        <v>401</v>
      </c>
      <c r="M20" s="35" t="s">
        <v>402</v>
      </c>
      <c r="N20" s="35" t="s">
        <v>105</v>
      </c>
      <c r="O20" s="35" t="s">
        <v>639</v>
      </c>
      <c r="P20" s="35" t="s">
        <v>657</v>
      </c>
      <c r="Q20" s="35" t="s">
        <v>109</v>
      </c>
      <c r="R20" s="35" t="s">
        <v>637</v>
      </c>
    </row>
    <row r="21" spans="1:18">
      <c r="A21" s="36" t="s">
        <v>662</v>
      </c>
      <c r="B21" s="36" t="s">
        <v>90</v>
      </c>
      <c r="C21" s="36" t="s">
        <v>91</v>
      </c>
      <c r="D21" s="36">
        <v>1873</v>
      </c>
      <c r="E21" s="36" t="s">
        <v>141</v>
      </c>
      <c r="F21" s="36" t="s">
        <v>151</v>
      </c>
      <c r="G21" s="45">
        <v>38</v>
      </c>
      <c r="H21" s="45">
        <v>4</v>
      </c>
      <c r="I21" s="45">
        <v>8</v>
      </c>
      <c r="J21" s="45">
        <v>10</v>
      </c>
      <c r="K21" s="45">
        <v>18</v>
      </c>
      <c r="L21" s="36" t="s">
        <v>402</v>
      </c>
      <c r="M21" s="36" t="s">
        <v>402</v>
      </c>
      <c r="N21" s="36" t="s">
        <v>136</v>
      </c>
      <c r="O21" s="36" t="s">
        <v>639</v>
      </c>
      <c r="P21" s="36" t="s">
        <v>135</v>
      </c>
      <c r="Q21" s="36" t="s">
        <v>127</v>
      </c>
      <c r="R21" s="36" t="s">
        <v>634</v>
      </c>
    </row>
    <row r="22" spans="1:18">
      <c r="A22" s="35" t="s">
        <v>663</v>
      </c>
      <c r="B22" s="35" t="s">
        <v>196</v>
      </c>
      <c r="C22" s="35" t="s">
        <v>215</v>
      </c>
      <c r="D22" s="35">
        <v>1911</v>
      </c>
      <c r="E22" s="35" t="s">
        <v>141</v>
      </c>
      <c r="F22" s="35" t="s">
        <v>151</v>
      </c>
      <c r="G22" s="44">
        <v>62</v>
      </c>
      <c r="H22" s="44">
        <v>7</v>
      </c>
      <c r="I22" s="44">
        <v>18</v>
      </c>
      <c r="J22" s="44">
        <v>4</v>
      </c>
      <c r="K22" s="44">
        <v>22</v>
      </c>
      <c r="L22" s="35" t="s">
        <v>401</v>
      </c>
      <c r="M22" s="35" t="s">
        <v>401</v>
      </c>
      <c r="N22" s="35" t="s">
        <v>105</v>
      </c>
      <c r="O22" s="35" t="s">
        <v>639</v>
      </c>
      <c r="P22" s="35" t="s">
        <v>633</v>
      </c>
      <c r="Q22" s="35" t="s">
        <v>137</v>
      </c>
      <c r="R22" s="35" t="s">
        <v>637</v>
      </c>
    </row>
    <row r="23" spans="1:18">
      <c r="A23" s="36" t="s">
        <v>664</v>
      </c>
      <c r="B23" s="36" t="s">
        <v>196</v>
      </c>
      <c r="C23" s="36" t="s">
        <v>215</v>
      </c>
      <c r="D23" s="36">
        <v>1909</v>
      </c>
      <c r="E23" s="36" t="s">
        <v>93</v>
      </c>
      <c r="F23" s="36" t="s">
        <v>151</v>
      </c>
      <c r="G23" s="45">
        <v>67</v>
      </c>
      <c r="H23" s="45">
        <v>5</v>
      </c>
      <c r="I23" s="45">
        <v>30</v>
      </c>
      <c r="J23" s="45">
        <v>6</v>
      </c>
      <c r="K23" s="45">
        <v>36</v>
      </c>
      <c r="L23" s="36" t="s">
        <v>402</v>
      </c>
      <c r="M23" s="36" t="s">
        <v>402</v>
      </c>
      <c r="N23" s="36" t="s">
        <v>136</v>
      </c>
      <c r="O23" s="36" t="s">
        <v>632</v>
      </c>
      <c r="P23" s="36" t="s">
        <v>147</v>
      </c>
      <c r="Q23" s="36" t="s">
        <v>109</v>
      </c>
      <c r="R23" s="36" t="s">
        <v>637</v>
      </c>
    </row>
    <row r="24" spans="1:18">
      <c r="A24" s="35" t="s">
        <v>665</v>
      </c>
      <c r="B24" s="35" t="s">
        <v>196</v>
      </c>
      <c r="C24" s="35" t="s">
        <v>197</v>
      </c>
      <c r="D24" s="35">
        <v>1901</v>
      </c>
      <c r="E24" s="35" t="s">
        <v>93</v>
      </c>
      <c r="F24" s="35" t="s">
        <v>142</v>
      </c>
      <c r="G24" s="44">
        <v>44</v>
      </c>
      <c r="H24" s="44">
        <v>5</v>
      </c>
      <c r="I24" s="44">
        <v>27</v>
      </c>
      <c r="J24" s="44">
        <v>19</v>
      </c>
      <c r="K24" s="44">
        <v>46</v>
      </c>
      <c r="L24" s="35" t="s">
        <v>402</v>
      </c>
      <c r="M24" s="35" t="s">
        <v>402</v>
      </c>
      <c r="N24" s="35" t="s">
        <v>136</v>
      </c>
      <c r="O24" s="35" t="s">
        <v>632</v>
      </c>
      <c r="P24" s="35" t="s">
        <v>646</v>
      </c>
      <c r="Q24" s="35" t="s">
        <v>109</v>
      </c>
      <c r="R24" s="35" t="s">
        <v>637</v>
      </c>
    </row>
    <row r="25" spans="1:18">
      <c r="A25" s="36" t="s">
        <v>666</v>
      </c>
      <c r="B25" s="36" t="s">
        <v>196</v>
      </c>
      <c r="C25" s="36" t="s">
        <v>200</v>
      </c>
      <c r="D25" s="36">
        <v>1910</v>
      </c>
      <c r="E25" s="36" t="s">
        <v>141</v>
      </c>
      <c r="F25" s="36" t="s">
        <v>118</v>
      </c>
      <c r="G25" s="45">
        <v>104</v>
      </c>
      <c r="H25" s="45">
        <v>6</v>
      </c>
      <c r="I25" s="45">
        <v>33</v>
      </c>
      <c r="J25" s="45">
        <v>18</v>
      </c>
      <c r="K25" s="45">
        <v>51</v>
      </c>
      <c r="L25" s="36" t="s">
        <v>401</v>
      </c>
      <c r="M25" s="36" t="s">
        <v>401</v>
      </c>
      <c r="N25" s="36" t="s">
        <v>105</v>
      </c>
      <c r="O25" s="36" t="s">
        <v>667</v>
      </c>
      <c r="P25" s="36" t="s">
        <v>147</v>
      </c>
      <c r="Q25" s="36" t="s">
        <v>109</v>
      </c>
      <c r="R25" s="36" t="s">
        <v>637</v>
      </c>
    </row>
    <row r="26" spans="1:18">
      <c r="A26" s="35" t="s">
        <v>668</v>
      </c>
      <c r="B26" s="35" t="s">
        <v>196</v>
      </c>
      <c r="C26" s="35" t="s">
        <v>212</v>
      </c>
      <c r="D26" s="35">
        <v>1870</v>
      </c>
      <c r="E26" s="35" t="s">
        <v>141</v>
      </c>
      <c r="F26" s="35" t="s">
        <v>151</v>
      </c>
      <c r="G26" s="44">
        <v>95</v>
      </c>
      <c r="H26" s="44">
        <v>2</v>
      </c>
      <c r="I26" s="44">
        <v>13</v>
      </c>
      <c r="J26" s="44">
        <v>13</v>
      </c>
      <c r="K26" s="44">
        <v>26</v>
      </c>
      <c r="L26" s="35" t="s">
        <v>402</v>
      </c>
      <c r="M26" s="35" t="s">
        <v>402</v>
      </c>
      <c r="N26" s="35" t="s">
        <v>136</v>
      </c>
      <c r="O26" s="35" t="s">
        <v>632</v>
      </c>
      <c r="P26" s="35" t="s">
        <v>633</v>
      </c>
      <c r="Q26" s="35" t="s">
        <v>137</v>
      </c>
      <c r="R26" s="35" t="s">
        <v>637</v>
      </c>
    </row>
    <row r="27" spans="1:18">
      <c r="A27" s="36" t="s">
        <v>669</v>
      </c>
      <c r="B27" s="36" t="s">
        <v>196</v>
      </c>
      <c r="C27" s="36" t="s">
        <v>215</v>
      </c>
      <c r="D27" s="36">
        <v>1913</v>
      </c>
      <c r="E27" s="36" t="s">
        <v>141</v>
      </c>
      <c r="F27" s="36" t="s">
        <v>151</v>
      </c>
      <c r="G27" s="45">
        <v>113</v>
      </c>
      <c r="H27" s="45">
        <v>7</v>
      </c>
      <c r="I27" s="45">
        <v>11</v>
      </c>
      <c r="J27" s="45">
        <v>19</v>
      </c>
      <c r="K27" s="45">
        <v>30</v>
      </c>
      <c r="L27" s="36" t="s">
        <v>401</v>
      </c>
      <c r="M27" s="36" t="s">
        <v>402</v>
      </c>
      <c r="N27" s="36" t="s">
        <v>105</v>
      </c>
      <c r="O27" s="36" t="s">
        <v>632</v>
      </c>
      <c r="P27" s="36" t="s">
        <v>135</v>
      </c>
      <c r="Q27" s="36" t="s">
        <v>109</v>
      </c>
      <c r="R27" s="36" t="s">
        <v>637</v>
      </c>
    </row>
    <row r="28" spans="1:18">
      <c r="A28" s="35" t="s">
        <v>670</v>
      </c>
      <c r="B28" s="35" t="s">
        <v>90</v>
      </c>
      <c r="C28" s="35" t="s">
        <v>145</v>
      </c>
      <c r="D28" s="35">
        <v>1881</v>
      </c>
      <c r="E28" s="35" t="s">
        <v>168</v>
      </c>
      <c r="F28" s="35" t="s">
        <v>94</v>
      </c>
      <c r="G28" s="44">
        <v>24</v>
      </c>
      <c r="H28" s="44">
        <v>1</v>
      </c>
      <c r="I28" s="44">
        <v>13</v>
      </c>
      <c r="J28" s="44">
        <v>9</v>
      </c>
      <c r="K28" s="44">
        <v>22</v>
      </c>
      <c r="L28" s="35" t="s">
        <v>401</v>
      </c>
      <c r="M28" s="35" t="s">
        <v>401</v>
      </c>
      <c r="N28" s="35" t="s">
        <v>105</v>
      </c>
      <c r="O28" s="35" t="s">
        <v>639</v>
      </c>
      <c r="P28" s="35" t="s">
        <v>633</v>
      </c>
      <c r="Q28" s="35" t="s">
        <v>127</v>
      </c>
      <c r="R28" s="35" t="s">
        <v>634</v>
      </c>
    </row>
    <row r="29" spans="1:18">
      <c r="A29" s="36" t="s">
        <v>671</v>
      </c>
      <c r="B29" s="36" t="s">
        <v>196</v>
      </c>
      <c r="C29" s="36" t="s">
        <v>200</v>
      </c>
      <c r="D29" s="36">
        <v>1877</v>
      </c>
      <c r="E29" s="36" t="s">
        <v>93</v>
      </c>
      <c r="F29" s="36" t="s">
        <v>142</v>
      </c>
      <c r="G29" s="45">
        <v>144</v>
      </c>
      <c r="H29" s="45">
        <v>8</v>
      </c>
      <c r="I29" s="45">
        <v>19</v>
      </c>
      <c r="J29" s="45">
        <v>19</v>
      </c>
      <c r="K29" s="45">
        <v>38</v>
      </c>
      <c r="L29" s="36" t="s">
        <v>402</v>
      </c>
      <c r="M29" s="36" t="s">
        <v>401</v>
      </c>
      <c r="N29" s="36" t="s">
        <v>136</v>
      </c>
      <c r="O29" s="36" t="s">
        <v>632</v>
      </c>
      <c r="P29" s="36" t="s">
        <v>104</v>
      </c>
      <c r="Q29" s="36" t="s">
        <v>137</v>
      </c>
      <c r="R29" s="36" t="s">
        <v>637</v>
      </c>
    </row>
    <row r="30" spans="1:18">
      <c r="A30" s="35" t="s">
        <v>672</v>
      </c>
      <c r="B30" s="35" t="s">
        <v>90</v>
      </c>
      <c r="C30" s="35" t="s">
        <v>139</v>
      </c>
      <c r="D30" s="35">
        <v>1863</v>
      </c>
      <c r="E30" s="35" t="s">
        <v>93</v>
      </c>
      <c r="F30" s="35" t="s">
        <v>94</v>
      </c>
      <c r="G30" s="44">
        <v>11</v>
      </c>
      <c r="H30" s="44">
        <v>2</v>
      </c>
      <c r="I30" s="44">
        <v>10</v>
      </c>
      <c r="J30" s="44">
        <v>10</v>
      </c>
      <c r="K30" s="44">
        <v>20</v>
      </c>
      <c r="L30" s="35" t="s">
        <v>402</v>
      </c>
      <c r="M30" s="35" t="s">
        <v>402</v>
      </c>
      <c r="N30" s="35" t="s">
        <v>136</v>
      </c>
      <c r="O30" s="35" t="s">
        <v>639</v>
      </c>
      <c r="P30" s="35" t="s">
        <v>636</v>
      </c>
      <c r="Q30" s="35" t="s">
        <v>109</v>
      </c>
      <c r="R30" s="35" t="s">
        <v>634</v>
      </c>
    </row>
    <row r="31" spans="1:18">
      <c r="A31" s="36" t="s">
        <v>673</v>
      </c>
      <c r="B31" s="36" t="s">
        <v>196</v>
      </c>
      <c r="C31" s="36" t="s">
        <v>204</v>
      </c>
      <c r="D31" s="36">
        <v>1923</v>
      </c>
      <c r="E31" s="36" t="s">
        <v>141</v>
      </c>
      <c r="F31" s="36" t="s">
        <v>118</v>
      </c>
      <c r="G31" s="45">
        <v>44</v>
      </c>
      <c r="H31" s="45">
        <v>5</v>
      </c>
      <c r="I31" s="45">
        <v>30</v>
      </c>
      <c r="J31" s="45">
        <v>21</v>
      </c>
      <c r="K31" s="45">
        <v>51</v>
      </c>
      <c r="L31" s="36" t="s">
        <v>401</v>
      </c>
      <c r="M31" s="36" t="s">
        <v>402</v>
      </c>
      <c r="N31" s="36" t="s">
        <v>105</v>
      </c>
      <c r="O31" s="36" t="s">
        <v>667</v>
      </c>
      <c r="P31" s="36" t="s">
        <v>104</v>
      </c>
      <c r="Q31" s="36" t="s">
        <v>109</v>
      </c>
      <c r="R31" s="36" t="s">
        <v>637</v>
      </c>
    </row>
    <row r="32" spans="1:18">
      <c r="A32" s="35" t="s">
        <v>674</v>
      </c>
      <c r="B32" s="35" t="s">
        <v>257</v>
      </c>
      <c r="C32" s="35" t="s">
        <v>675</v>
      </c>
      <c r="D32" s="35">
        <v>1916</v>
      </c>
      <c r="E32" s="35" t="s">
        <v>141</v>
      </c>
      <c r="F32" s="35" t="s">
        <v>151</v>
      </c>
      <c r="G32" s="44">
        <v>64</v>
      </c>
      <c r="H32" s="44">
        <v>0</v>
      </c>
      <c r="I32" s="44">
        <v>24</v>
      </c>
      <c r="J32" s="44">
        <v>10</v>
      </c>
      <c r="K32" s="44">
        <v>34</v>
      </c>
      <c r="L32" s="35" t="s">
        <v>402</v>
      </c>
      <c r="M32" s="35" t="s">
        <v>401</v>
      </c>
      <c r="N32" s="35" t="s">
        <v>136</v>
      </c>
      <c r="O32" s="35" t="s">
        <v>632</v>
      </c>
      <c r="P32" s="35" t="s">
        <v>147</v>
      </c>
      <c r="Q32" s="35" t="s">
        <v>137</v>
      </c>
      <c r="R32" s="35" t="s">
        <v>653</v>
      </c>
    </row>
    <row r="33" spans="1:18">
      <c r="A33" s="36" t="s">
        <v>676</v>
      </c>
      <c r="B33" s="36" t="s">
        <v>196</v>
      </c>
      <c r="C33" s="36" t="s">
        <v>209</v>
      </c>
      <c r="D33" s="36">
        <v>1871</v>
      </c>
      <c r="E33" s="36" t="s">
        <v>168</v>
      </c>
      <c r="F33" s="36" t="s">
        <v>118</v>
      </c>
      <c r="G33" s="45">
        <v>75</v>
      </c>
      <c r="H33" s="45">
        <v>4</v>
      </c>
      <c r="I33" s="45">
        <v>31</v>
      </c>
      <c r="J33" s="45">
        <v>22</v>
      </c>
      <c r="K33" s="45">
        <v>53</v>
      </c>
      <c r="L33" s="36" t="s">
        <v>401</v>
      </c>
      <c r="M33" s="36" t="s">
        <v>401</v>
      </c>
      <c r="N33" s="36" t="s">
        <v>105</v>
      </c>
      <c r="O33" s="36" t="s">
        <v>667</v>
      </c>
      <c r="P33" s="36" t="s">
        <v>633</v>
      </c>
      <c r="Q33" s="36" t="s">
        <v>109</v>
      </c>
      <c r="R33" s="36" t="s">
        <v>637</v>
      </c>
    </row>
    <row r="34" spans="1:18">
      <c r="A34" s="35" t="s">
        <v>677</v>
      </c>
      <c r="B34" s="35" t="s">
        <v>90</v>
      </c>
      <c r="C34" s="35" t="s">
        <v>139</v>
      </c>
      <c r="D34" s="35">
        <v>1881</v>
      </c>
      <c r="E34" s="35" t="s">
        <v>141</v>
      </c>
      <c r="F34" s="35" t="s">
        <v>151</v>
      </c>
      <c r="G34" s="44">
        <v>33</v>
      </c>
      <c r="H34" s="44">
        <v>1</v>
      </c>
      <c r="I34" s="44">
        <v>4</v>
      </c>
      <c r="J34" s="44">
        <v>11</v>
      </c>
      <c r="K34" s="44">
        <v>15</v>
      </c>
      <c r="L34" s="35" t="s">
        <v>402</v>
      </c>
      <c r="M34" s="35" t="s">
        <v>402</v>
      </c>
      <c r="N34" s="35" t="s">
        <v>136</v>
      </c>
      <c r="O34" s="35" t="s">
        <v>639</v>
      </c>
      <c r="P34" s="35" t="s">
        <v>147</v>
      </c>
      <c r="Q34" s="35" t="s">
        <v>109</v>
      </c>
      <c r="R34" s="35" t="s">
        <v>634</v>
      </c>
    </row>
    <row r="35" spans="1:18">
      <c r="A35" s="36" t="s">
        <v>678</v>
      </c>
      <c r="B35" s="36" t="s">
        <v>257</v>
      </c>
      <c r="C35" s="36" t="s">
        <v>679</v>
      </c>
      <c r="D35" s="36">
        <v>1897</v>
      </c>
      <c r="E35" s="36" t="s">
        <v>168</v>
      </c>
      <c r="F35" s="36" t="s">
        <v>94</v>
      </c>
      <c r="G35" s="45">
        <v>119</v>
      </c>
      <c r="H35" s="45">
        <v>4</v>
      </c>
      <c r="I35" s="45">
        <v>7</v>
      </c>
      <c r="J35" s="45">
        <v>7</v>
      </c>
      <c r="K35" s="45">
        <v>14</v>
      </c>
      <c r="L35" s="36" t="s">
        <v>401</v>
      </c>
      <c r="M35" s="36" t="s">
        <v>402</v>
      </c>
      <c r="N35" s="36" t="s">
        <v>105</v>
      </c>
      <c r="O35" s="36" t="s">
        <v>639</v>
      </c>
      <c r="P35" s="36" t="s">
        <v>147</v>
      </c>
      <c r="Q35" s="36" t="s">
        <v>127</v>
      </c>
      <c r="R35" s="36" t="s">
        <v>653</v>
      </c>
    </row>
    <row r="36" spans="1:18">
      <c r="A36" s="35" t="s">
        <v>680</v>
      </c>
      <c r="B36" s="35" t="s">
        <v>90</v>
      </c>
      <c r="C36" s="35" t="s">
        <v>166</v>
      </c>
      <c r="D36" s="35">
        <v>1876</v>
      </c>
      <c r="E36" s="35" t="s">
        <v>141</v>
      </c>
      <c r="F36" s="35" t="s">
        <v>151</v>
      </c>
      <c r="G36" s="44">
        <v>38</v>
      </c>
      <c r="H36" s="44">
        <v>1</v>
      </c>
      <c r="I36" s="44">
        <v>13</v>
      </c>
      <c r="J36" s="44">
        <v>5</v>
      </c>
      <c r="K36" s="44">
        <v>18</v>
      </c>
      <c r="L36" s="35" t="s">
        <v>401</v>
      </c>
      <c r="M36" s="35" t="s">
        <v>402</v>
      </c>
      <c r="N36" s="35" t="s">
        <v>105</v>
      </c>
      <c r="O36" s="35" t="s">
        <v>639</v>
      </c>
      <c r="P36" s="35" t="s">
        <v>646</v>
      </c>
      <c r="Q36" s="35" t="s">
        <v>137</v>
      </c>
      <c r="R36" s="35" t="s">
        <v>634</v>
      </c>
    </row>
    <row r="37" spans="1:18">
      <c r="A37" s="36" t="s">
        <v>681</v>
      </c>
      <c r="B37" s="36" t="s">
        <v>196</v>
      </c>
      <c r="C37" s="36" t="s">
        <v>204</v>
      </c>
      <c r="D37" s="36">
        <v>1894</v>
      </c>
      <c r="E37" s="36" t="s">
        <v>141</v>
      </c>
      <c r="F37" s="36" t="s">
        <v>142</v>
      </c>
      <c r="G37" s="45">
        <v>111</v>
      </c>
      <c r="H37" s="45">
        <v>8</v>
      </c>
      <c r="I37" s="45">
        <v>8</v>
      </c>
      <c r="J37" s="45">
        <v>24</v>
      </c>
      <c r="K37" s="45">
        <v>32</v>
      </c>
      <c r="L37" s="36" t="s">
        <v>401</v>
      </c>
      <c r="M37" s="36" t="s">
        <v>402</v>
      </c>
      <c r="N37" s="36" t="s">
        <v>105</v>
      </c>
      <c r="O37" s="36" t="s">
        <v>632</v>
      </c>
      <c r="P37" s="36" t="s">
        <v>657</v>
      </c>
      <c r="Q37" s="36" t="s">
        <v>137</v>
      </c>
      <c r="R37" s="36" t="s">
        <v>637</v>
      </c>
    </row>
    <row r="38" spans="1:18">
      <c r="A38" s="35" t="s">
        <v>682</v>
      </c>
      <c r="B38" s="35" t="s">
        <v>90</v>
      </c>
      <c r="C38" s="35" t="s">
        <v>116</v>
      </c>
      <c r="D38" s="35">
        <v>1895</v>
      </c>
      <c r="E38" s="35" t="s">
        <v>141</v>
      </c>
      <c r="F38" s="35" t="s">
        <v>94</v>
      </c>
      <c r="G38" s="44">
        <v>65</v>
      </c>
      <c r="H38" s="44">
        <v>3</v>
      </c>
      <c r="I38" s="44">
        <v>13</v>
      </c>
      <c r="J38" s="44">
        <v>11</v>
      </c>
      <c r="K38" s="44">
        <v>24</v>
      </c>
      <c r="L38" s="35" t="s">
        <v>402</v>
      </c>
      <c r="M38" s="35" t="s">
        <v>402</v>
      </c>
      <c r="N38" s="35" t="s">
        <v>136</v>
      </c>
      <c r="O38" s="35" t="s">
        <v>632</v>
      </c>
      <c r="P38" s="35" t="s">
        <v>657</v>
      </c>
      <c r="Q38" s="35" t="s">
        <v>109</v>
      </c>
      <c r="R38" s="35" t="s">
        <v>634</v>
      </c>
    </row>
    <row r="39" spans="1:18">
      <c r="A39" s="36" t="s">
        <v>683</v>
      </c>
      <c r="B39" s="36" t="s">
        <v>90</v>
      </c>
      <c r="C39" s="36" t="s">
        <v>156</v>
      </c>
      <c r="D39" s="36">
        <v>1918</v>
      </c>
      <c r="E39" s="36" t="s">
        <v>141</v>
      </c>
      <c r="F39" s="36" t="s">
        <v>94</v>
      </c>
      <c r="G39" s="45">
        <v>15</v>
      </c>
      <c r="H39" s="45">
        <v>4</v>
      </c>
      <c r="I39" s="45">
        <v>15</v>
      </c>
      <c r="J39" s="45">
        <v>5</v>
      </c>
      <c r="K39" s="45">
        <v>20</v>
      </c>
      <c r="L39" s="36" t="s">
        <v>401</v>
      </c>
      <c r="M39" s="36" t="s">
        <v>401</v>
      </c>
      <c r="N39" s="36" t="s">
        <v>105</v>
      </c>
      <c r="O39" s="36" t="s">
        <v>639</v>
      </c>
      <c r="P39" s="36" t="s">
        <v>147</v>
      </c>
      <c r="Q39" s="36" t="s">
        <v>137</v>
      </c>
      <c r="R39" s="36" t="s">
        <v>634</v>
      </c>
    </row>
    <row r="40" spans="1:18">
      <c r="A40" s="35" t="s">
        <v>684</v>
      </c>
      <c r="B40" s="35" t="s">
        <v>248</v>
      </c>
      <c r="C40" s="35" t="s">
        <v>249</v>
      </c>
      <c r="D40" s="35">
        <v>1896</v>
      </c>
      <c r="E40" s="35" t="s">
        <v>168</v>
      </c>
      <c r="F40" s="35" t="s">
        <v>151</v>
      </c>
      <c r="G40" s="44">
        <v>82</v>
      </c>
      <c r="H40" s="44">
        <v>6</v>
      </c>
      <c r="I40" s="44">
        <v>19</v>
      </c>
      <c r="J40" s="44">
        <v>13</v>
      </c>
      <c r="K40" s="44">
        <v>32</v>
      </c>
      <c r="L40" s="35" t="s">
        <v>401</v>
      </c>
      <c r="M40" s="35" t="s">
        <v>402</v>
      </c>
      <c r="N40" s="35" t="s">
        <v>105</v>
      </c>
      <c r="O40" s="35" t="s">
        <v>632</v>
      </c>
      <c r="P40" s="35" t="s">
        <v>657</v>
      </c>
      <c r="Q40" s="35" t="s">
        <v>137</v>
      </c>
      <c r="R40" s="35" t="s">
        <v>647</v>
      </c>
    </row>
    <row r="41" spans="1:18">
      <c r="A41" s="36" t="s">
        <v>685</v>
      </c>
      <c r="B41" s="36" t="s">
        <v>196</v>
      </c>
      <c r="C41" s="36" t="s">
        <v>212</v>
      </c>
      <c r="D41" s="36">
        <v>1918</v>
      </c>
      <c r="E41" s="36" t="s">
        <v>93</v>
      </c>
      <c r="F41" s="36" t="s">
        <v>118</v>
      </c>
      <c r="G41" s="45">
        <v>55</v>
      </c>
      <c r="H41" s="45">
        <v>8</v>
      </c>
      <c r="I41" s="45">
        <v>20</v>
      </c>
      <c r="J41" s="45">
        <v>4</v>
      </c>
      <c r="K41" s="45">
        <v>24</v>
      </c>
      <c r="L41" s="36" t="s">
        <v>401</v>
      </c>
      <c r="M41" s="36" t="s">
        <v>402</v>
      </c>
      <c r="N41" s="36" t="s">
        <v>105</v>
      </c>
      <c r="O41" s="36" t="s">
        <v>632</v>
      </c>
      <c r="P41" s="36" t="s">
        <v>135</v>
      </c>
      <c r="Q41" s="36" t="s">
        <v>127</v>
      </c>
      <c r="R41" s="36" t="s">
        <v>637</v>
      </c>
    </row>
    <row r="42" spans="1:18">
      <c r="A42" s="35" t="s">
        <v>686</v>
      </c>
      <c r="B42" s="35" t="s">
        <v>90</v>
      </c>
      <c r="C42" s="35" t="s">
        <v>116</v>
      </c>
      <c r="D42" s="35">
        <v>1898</v>
      </c>
      <c r="E42" s="35" t="s">
        <v>93</v>
      </c>
      <c r="F42" s="35" t="s">
        <v>94</v>
      </c>
      <c r="G42" s="44">
        <v>18</v>
      </c>
      <c r="H42" s="44">
        <v>2</v>
      </c>
      <c r="I42" s="44">
        <v>11</v>
      </c>
      <c r="J42" s="44">
        <v>3</v>
      </c>
      <c r="K42" s="44">
        <v>14</v>
      </c>
      <c r="L42" s="35" t="s">
        <v>402</v>
      </c>
      <c r="M42" s="35" t="s">
        <v>401</v>
      </c>
      <c r="N42" s="35" t="s">
        <v>136</v>
      </c>
      <c r="O42" s="35" t="s">
        <v>639</v>
      </c>
      <c r="P42" s="35" t="s">
        <v>633</v>
      </c>
      <c r="Q42" s="35" t="s">
        <v>137</v>
      </c>
      <c r="R42" s="35" t="s">
        <v>634</v>
      </c>
    </row>
    <row r="43" spans="1:18">
      <c r="A43" s="36" t="s">
        <v>687</v>
      </c>
      <c r="B43" s="36" t="s">
        <v>196</v>
      </c>
      <c r="C43" s="36" t="s">
        <v>197</v>
      </c>
      <c r="D43" s="36">
        <v>1899</v>
      </c>
      <c r="E43" s="36" t="s">
        <v>141</v>
      </c>
      <c r="F43" s="36" t="s">
        <v>151</v>
      </c>
      <c r="G43" s="45">
        <v>124</v>
      </c>
      <c r="H43" s="45">
        <v>2</v>
      </c>
      <c r="I43" s="45">
        <v>28</v>
      </c>
      <c r="J43" s="45">
        <v>7</v>
      </c>
      <c r="K43" s="45">
        <v>35</v>
      </c>
      <c r="L43" s="36" t="s">
        <v>402</v>
      </c>
      <c r="M43" s="36" t="s">
        <v>402</v>
      </c>
      <c r="N43" s="36" t="s">
        <v>136</v>
      </c>
      <c r="O43" s="36" t="s">
        <v>632</v>
      </c>
      <c r="P43" s="36" t="s">
        <v>135</v>
      </c>
      <c r="Q43" s="36" t="s">
        <v>137</v>
      </c>
      <c r="R43" s="36" t="s">
        <v>637</v>
      </c>
    </row>
    <row r="44" spans="1:18">
      <c r="A44" s="35" t="s">
        <v>688</v>
      </c>
      <c r="B44" s="35" t="s">
        <v>90</v>
      </c>
      <c r="C44" s="35" t="s">
        <v>156</v>
      </c>
      <c r="D44" s="35">
        <v>1916</v>
      </c>
      <c r="E44" s="35" t="s">
        <v>93</v>
      </c>
      <c r="F44" s="35" t="s">
        <v>118</v>
      </c>
      <c r="G44" s="44">
        <v>50</v>
      </c>
      <c r="H44" s="44">
        <v>0</v>
      </c>
      <c r="I44" s="44">
        <v>16</v>
      </c>
      <c r="J44" s="44">
        <v>13</v>
      </c>
      <c r="K44" s="44">
        <v>29</v>
      </c>
      <c r="L44" s="35" t="s">
        <v>402</v>
      </c>
      <c r="M44" s="35" t="s">
        <v>402</v>
      </c>
      <c r="N44" s="35" t="s">
        <v>136</v>
      </c>
      <c r="O44" s="35" t="s">
        <v>632</v>
      </c>
      <c r="P44" s="35" t="s">
        <v>657</v>
      </c>
      <c r="Q44" s="35" t="s">
        <v>137</v>
      </c>
      <c r="R44" s="35" t="s">
        <v>634</v>
      </c>
    </row>
    <row r="45" spans="1:18">
      <c r="A45" s="36" t="s">
        <v>689</v>
      </c>
      <c r="B45" s="36" t="s">
        <v>248</v>
      </c>
      <c r="C45" s="36" t="s">
        <v>690</v>
      </c>
      <c r="D45" s="36">
        <v>1873</v>
      </c>
      <c r="E45" s="36" t="s">
        <v>93</v>
      </c>
      <c r="F45" s="36" t="s">
        <v>94</v>
      </c>
      <c r="G45" s="45">
        <v>57</v>
      </c>
      <c r="H45" s="45">
        <v>2</v>
      </c>
      <c r="I45" s="45">
        <v>8</v>
      </c>
      <c r="J45" s="45">
        <v>15</v>
      </c>
      <c r="K45" s="45">
        <v>23</v>
      </c>
      <c r="L45" s="36" t="s">
        <v>401</v>
      </c>
      <c r="M45" s="36" t="s">
        <v>402</v>
      </c>
      <c r="N45" s="36" t="s">
        <v>105</v>
      </c>
      <c r="O45" s="36" t="s">
        <v>639</v>
      </c>
      <c r="P45" s="36" t="s">
        <v>657</v>
      </c>
      <c r="Q45" s="36" t="s">
        <v>137</v>
      </c>
      <c r="R45" s="36" t="s">
        <v>647</v>
      </c>
    </row>
    <row r="46" spans="1:18">
      <c r="A46" s="35" t="s">
        <v>691</v>
      </c>
      <c r="B46" s="35" t="s">
        <v>90</v>
      </c>
      <c r="C46" s="35" t="s">
        <v>116</v>
      </c>
      <c r="D46" s="35">
        <v>1878</v>
      </c>
      <c r="E46" s="35" t="s">
        <v>93</v>
      </c>
      <c r="F46" s="35" t="s">
        <v>118</v>
      </c>
      <c r="G46" s="44">
        <v>85</v>
      </c>
      <c r="H46" s="44">
        <v>1</v>
      </c>
      <c r="I46" s="44">
        <v>17</v>
      </c>
      <c r="J46" s="44">
        <v>7</v>
      </c>
      <c r="K46" s="44">
        <v>24</v>
      </c>
      <c r="L46" s="35" t="s">
        <v>401</v>
      </c>
      <c r="M46" s="35" t="s">
        <v>402</v>
      </c>
      <c r="N46" s="35" t="s">
        <v>105</v>
      </c>
      <c r="O46" s="35" t="s">
        <v>632</v>
      </c>
      <c r="P46" s="35" t="s">
        <v>633</v>
      </c>
      <c r="Q46" s="35" t="s">
        <v>137</v>
      </c>
      <c r="R46" s="35" t="s">
        <v>634</v>
      </c>
    </row>
    <row r="47" spans="1:18">
      <c r="A47" s="36" t="s">
        <v>692</v>
      </c>
      <c r="B47" s="36" t="s">
        <v>196</v>
      </c>
      <c r="C47" s="36" t="s">
        <v>204</v>
      </c>
      <c r="D47" s="36">
        <v>1916</v>
      </c>
      <c r="E47" s="36" t="s">
        <v>93</v>
      </c>
      <c r="F47" s="36" t="s">
        <v>118</v>
      </c>
      <c r="G47" s="45">
        <v>40</v>
      </c>
      <c r="H47" s="45">
        <v>3</v>
      </c>
      <c r="I47" s="45">
        <v>30</v>
      </c>
      <c r="J47" s="45">
        <v>7</v>
      </c>
      <c r="K47" s="45">
        <v>37</v>
      </c>
      <c r="L47" s="36" t="s">
        <v>402</v>
      </c>
      <c r="M47" s="36" t="s">
        <v>402</v>
      </c>
      <c r="N47" s="36" t="s">
        <v>136</v>
      </c>
      <c r="O47" s="36" t="s">
        <v>632</v>
      </c>
      <c r="P47" s="36" t="s">
        <v>147</v>
      </c>
      <c r="Q47" s="36" t="s">
        <v>127</v>
      </c>
      <c r="R47" s="36" t="s">
        <v>637</v>
      </c>
    </row>
    <row r="48" spans="1:18">
      <c r="A48" s="35" t="s">
        <v>693</v>
      </c>
      <c r="B48" s="35" t="s">
        <v>248</v>
      </c>
      <c r="C48" s="35" t="s">
        <v>607</v>
      </c>
      <c r="D48" s="35">
        <v>1877</v>
      </c>
      <c r="E48" s="35" t="s">
        <v>93</v>
      </c>
      <c r="F48" s="35" t="s">
        <v>94</v>
      </c>
      <c r="G48" s="44">
        <v>92</v>
      </c>
      <c r="H48" s="44">
        <v>0</v>
      </c>
      <c r="I48" s="44">
        <v>11</v>
      </c>
      <c r="J48" s="44">
        <v>12</v>
      </c>
      <c r="K48" s="44">
        <v>23</v>
      </c>
      <c r="L48" s="35" t="s">
        <v>401</v>
      </c>
      <c r="M48" s="35" t="s">
        <v>402</v>
      </c>
      <c r="N48" s="35" t="s">
        <v>105</v>
      </c>
      <c r="O48" s="35" t="s">
        <v>639</v>
      </c>
      <c r="P48" s="35" t="s">
        <v>657</v>
      </c>
      <c r="Q48" s="35" t="s">
        <v>109</v>
      </c>
      <c r="R48" s="35" t="s">
        <v>647</v>
      </c>
    </row>
    <row r="49" spans="1:18">
      <c r="A49" s="36" t="s">
        <v>694</v>
      </c>
      <c r="B49" s="36" t="s">
        <v>257</v>
      </c>
      <c r="C49" s="36" t="s">
        <v>258</v>
      </c>
      <c r="D49" s="36">
        <v>1898</v>
      </c>
      <c r="E49" s="36" t="s">
        <v>93</v>
      </c>
      <c r="F49" s="36" t="s">
        <v>151</v>
      </c>
      <c r="G49" s="45">
        <v>105</v>
      </c>
      <c r="H49" s="45">
        <v>3</v>
      </c>
      <c r="I49" s="45">
        <v>13</v>
      </c>
      <c r="J49" s="45">
        <v>4</v>
      </c>
      <c r="K49" s="45">
        <v>17</v>
      </c>
      <c r="L49" s="36" t="s">
        <v>401</v>
      </c>
      <c r="M49" s="36" t="s">
        <v>402</v>
      </c>
      <c r="N49" s="36" t="s">
        <v>105</v>
      </c>
      <c r="O49" s="36" t="s">
        <v>639</v>
      </c>
      <c r="P49" s="36" t="s">
        <v>633</v>
      </c>
      <c r="Q49" s="36" t="s">
        <v>137</v>
      </c>
      <c r="R49" s="36" t="s">
        <v>653</v>
      </c>
    </row>
    <row r="50" spans="1:18">
      <c r="A50" s="35" t="s">
        <v>695</v>
      </c>
      <c r="B50" s="35" t="s">
        <v>196</v>
      </c>
      <c r="C50" s="35" t="s">
        <v>218</v>
      </c>
      <c r="D50" s="35">
        <v>1874</v>
      </c>
      <c r="E50" s="35" t="s">
        <v>93</v>
      </c>
      <c r="F50" s="35" t="s">
        <v>142</v>
      </c>
      <c r="G50" s="44">
        <v>33</v>
      </c>
      <c r="H50" s="44">
        <v>9</v>
      </c>
      <c r="I50" s="44">
        <v>34</v>
      </c>
      <c r="J50" s="44">
        <v>4</v>
      </c>
      <c r="K50" s="44">
        <v>38</v>
      </c>
      <c r="L50" s="35" t="s">
        <v>401</v>
      </c>
      <c r="M50" s="35" t="s">
        <v>401</v>
      </c>
      <c r="N50" s="35" t="s">
        <v>105</v>
      </c>
      <c r="O50" s="35" t="s">
        <v>632</v>
      </c>
      <c r="P50" s="35" t="s">
        <v>636</v>
      </c>
      <c r="Q50" s="35" t="s">
        <v>137</v>
      </c>
      <c r="R50" s="35" t="s">
        <v>637</v>
      </c>
    </row>
    <row r="51" spans="1:18">
      <c r="A51" s="36" t="s">
        <v>696</v>
      </c>
      <c r="B51" s="36" t="s">
        <v>90</v>
      </c>
      <c r="C51" s="36" t="s">
        <v>156</v>
      </c>
      <c r="D51" s="36">
        <v>1913</v>
      </c>
      <c r="E51" s="36" t="s">
        <v>168</v>
      </c>
      <c r="F51" s="36" t="s">
        <v>151</v>
      </c>
      <c r="G51" s="45">
        <v>67</v>
      </c>
      <c r="H51" s="45">
        <v>0</v>
      </c>
      <c r="I51" s="45">
        <v>3</v>
      </c>
      <c r="J51" s="45">
        <v>11</v>
      </c>
      <c r="K51" s="45">
        <v>14</v>
      </c>
      <c r="L51" s="36" t="s">
        <v>402</v>
      </c>
      <c r="M51" s="36" t="s">
        <v>402</v>
      </c>
      <c r="N51" s="36" t="s">
        <v>136</v>
      </c>
      <c r="O51" s="36" t="s">
        <v>639</v>
      </c>
      <c r="P51" s="36" t="s">
        <v>104</v>
      </c>
      <c r="Q51" s="36" t="s">
        <v>137</v>
      </c>
      <c r="R51" s="36" t="s">
        <v>634</v>
      </c>
    </row>
    <row r="52" spans="1:18">
      <c r="A52" s="35" t="s">
        <v>697</v>
      </c>
      <c r="B52" s="35" t="s">
        <v>196</v>
      </c>
      <c r="C52" s="35" t="s">
        <v>212</v>
      </c>
      <c r="D52" s="35">
        <v>1910</v>
      </c>
      <c r="E52" s="35" t="s">
        <v>141</v>
      </c>
      <c r="F52" s="35" t="s">
        <v>94</v>
      </c>
      <c r="G52" s="44">
        <v>143</v>
      </c>
      <c r="H52" s="44">
        <v>7</v>
      </c>
      <c r="I52" s="44">
        <v>19</v>
      </c>
      <c r="J52" s="44">
        <v>16</v>
      </c>
      <c r="K52" s="44">
        <v>35</v>
      </c>
      <c r="L52" s="35" t="s">
        <v>402</v>
      </c>
      <c r="M52" s="35" t="s">
        <v>402</v>
      </c>
      <c r="N52" s="35" t="s">
        <v>136</v>
      </c>
      <c r="O52" s="35" t="s">
        <v>632</v>
      </c>
      <c r="P52" s="35" t="s">
        <v>147</v>
      </c>
      <c r="Q52" s="35" t="s">
        <v>109</v>
      </c>
      <c r="R52" s="35" t="s">
        <v>637</v>
      </c>
    </row>
    <row r="53" spans="1:18">
      <c r="A53" s="36" t="s">
        <v>698</v>
      </c>
      <c r="B53" s="36" t="s">
        <v>90</v>
      </c>
      <c r="C53" s="36" t="s">
        <v>166</v>
      </c>
      <c r="D53" s="36">
        <v>1870</v>
      </c>
      <c r="E53" s="36" t="s">
        <v>168</v>
      </c>
      <c r="F53" s="36" t="s">
        <v>118</v>
      </c>
      <c r="G53" s="45">
        <v>72</v>
      </c>
      <c r="H53" s="45">
        <v>1</v>
      </c>
      <c r="I53" s="45">
        <v>7</v>
      </c>
      <c r="J53" s="45">
        <v>10</v>
      </c>
      <c r="K53" s="45">
        <v>17</v>
      </c>
      <c r="L53" s="36" t="s">
        <v>402</v>
      </c>
      <c r="M53" s="36" t="s">
        <v>402</v>
      </c>
      <c r="N53" s="36" t="s">
        <v>136</v>
      </c>
      <c r="O53" s="36" t="s">
        <v>639</v>
      </c>
      <c r="P53" s="36" t="s">
        <v>657</v>
      </c>
      <c r="Q53" s="36" t="s">
        <v>109</v>
      </c>
      <c r="R53" s="36" t="s">
        <v>634</v>
      </c>
    </row>
    <row r="54" spans="1:18">
      <c r="A54" s="35" t="s">
        <v>699</v>
      </c>
      <c r="B54" s="35" t="s">
        <v>196</v>
      </c>
      <c r="C54" s="35" t="s">
        <v>218</v>
      </c>
      <c r="D54" s="35">
        <v>1868</v>
      </c>
      <c r="E54" s="35" t="s">
        <v>168</v>
      </c>
      <c r="F54" s="35" t="s">
        <v>142</v>
      </c>
      <c r="G54" s="44">
        <v>76</v>
      </c>
      <c r="H54" s="44">
        <v>1</v>
      </c>
      <c r="I54" s="44">
        <v>13</v>
      </c>
      <c r="J54" s="44">
        <v>6</v>
      </c>
      <c r="K54" s="44">
        <v>19</v>
      </c>
      <c r="L54" s="35" t="s">
        <v>401</v>
      </c>
      <c r="M54" s="35" t="s">
        <v>402</v>
      </c>
      <c r="N54" s="35" t="s">
        <v>105</v>
      </c>
      <c r="O54" s="35" t="s">
        <v>639</v>
      </c>
      <c r="P54" s="35" t="s">
        <v>104</v>
      </c>
      <c r="Q54" s="35" t="s">
        <v>109</v>
      </c>
      <c r="R54" s="35" t="s">
        <v>637</v>
      </c>
    </row>
    <row r="55" spans="1:18">
      <c r="A55" s="36" t="s">
        <v>700</v>
      </c>
      <c r="B55" s="36" t="s">
        <v>196</v>
      </c>
      <c r="C55" s="36" t="s">
        <v>200</v>
      </c>
      <c r="D55" s="36">
        <v>1899</v>
      </c>
      <c r="E55" s="36" t="s">
        <v>141</v>
      </c>
      <c r="F55" s="36" t="s">
        <v>151</v>
      </c>
      <c r="G55" s="45">
        <v>45</v>
      </c>
      <c r="H55" s="45">
        <v>1</v>
      </c>
      <c r="I55" s="45">
        <v>28</v>
      </c>
      <c r="J55" s="45">
        <v>8</v>
      </c>
      <c r="K55" s="45">
        <v>36</v>
      </c>
      <c r="L55" s="36" t="s">
        <v>401</v>
      </c>
      <c r="M55" s="36" t="s">
        <v>402</v>
      </c>
      <c r="N55" s="36" t="s">
        <v>105</v>
      </c>
      <c r="O55" s="36" t="s">
        <v>632</v>
      </c>
      <c r="P55" s="36" t="s">
        <v>646</v>
      </c>
      <c r="Q55" s="36" t="s">
        <v>127</v>
      </c>
      <c r="R55" s="36" t="s">
        <v>637</v>
      </c>
    </row>
    <row r="56" spans="1:18">
      <c r="A56" s="35" t="s">
        <v>701</v>
      </c>
      <c r="B56" s="35" t="s">
        <v>196</v>
      </c>
      <c r="C56" s="35" t="s">
        <v>209</v>
      </c>
      <c r="D56" s="35">
        <v>1893</v>
      </c>
      <c r="E56" s="35" t="s">
        <v>93</v>
      </c>
      <c r="F56" s="35" t="s">
        <v>94</v>
      </c>
      <c r="G56" s="44">
        <v>47</v>
      </c>
      <c r="H56" s="44">
        <v>5</v>
      </c>
      <c r="I56" s="44">
        <v>29</v>
      </c>
      <c r="J56" s="44">
        <v>7</v>
      </c>
      <c r="K56" s="44">
        <v>36</v>
      </c>
      <c r="L56" s="35" t="s">
        <v>401</v>
      </c>
      <c r="M56" s="35" t="s">
        <v>402</v>
      </c>
      <c r="N56" s="35" t="s">
        <v>105</v>
      </c>
      <c r="O56" s="35" t="s">
        <v>632</v>
      </c>
      <c r="P56" s="35" t="s">
        <v>147</v>
      </c>
      <c r="Q56" s="35" t="s">
        <v>109</v>
      </c>
      <c r="R56" s="35" t="s">
        <v>637</v>
      </c>
    </row>
    <row r="57" spans="1:18">
      <c r="A57" s="36" t="s">
        <v>702</v>
      </c>
      <c r="B57" s="36" t="s">
        <v>90</v>
      </c>
      <c r="C57" s="36" t="s">
        <v>166</v>
      </c>
      <c r="D57" s="36">
        <v>1868</v>
      </c>
      <c r="E57" s="36" t="s">
        <v>168</v>
      </c>
      <c r="F57" s="36" t="s">
        <v>118</v>
      </c>
      <c r="G57" s="45">
        <v>70</v>
      </c>
      <c r="H57" s="45">
        <v>3</v>
      </c>
      <c r="I57" s="45">
        <v>14</v>
      </c>
      <c r="J57" s="45">
        <v>2</v>
      </c>
      <c r="K57" s="45">
        <v>16</v>
      </c>
      <c r="L57" s="36" t="s">
        <v>402</v>
      </c>
      <c r="M57" s="36" t="s">
        <v>402</v>
      </c>
      <c r="N57" s="36" t="s">
        <v>136</v>
      </c>
      <c r="O57" s="36" t="s">
        <v>639</v>
      </c>
      <c r="P57" s="36" t="s">
        <v>147</v>
      </c>
      <c r="Q57" s="36" t="s">
        <v>137</v>
      </c>
      <c r="R57" s="36" t="s">
        <v>634</v>
      </c>
    </row>
    <row r="58" spans="1:18">
      <c r="A58" s="35" t="s">
        <v>703</v>
      </c>
      <c r="B58" s="35" t="s">
        <v>90</v>
      </c>
      <c r="C58" s="35" t="s">
        <v>139</v>
      </c>
      <c r="D58" s="35">
        <v>1873</v>
      </c>
      <c r="E58" s="35" t="s">
        <v>141</v>
      </c>
      <c r="F58" s="35" t="s">
        <v>118</v>
      </c>
      <c r="G58" s="44">
        <v>36</v>
      </c>
      <c r="H58" s="44">
        <v>4</v>
      </c>
      <c r="I58" s="44">
        <v>3</v>
      </c>
      <c r="J58" s="44">
        <v>2</v>
      </c>
      <c r="K58" s="44">
        <v>5</v>
      </c>
      <c r="L58" s="35" t="s">
        <v>401</v>
      </c>
      <c r="M58" s="35" t="s">
        <v>402</v>
      </c>
      <c r="N58" s="35" t="s">
        <v>105</v>
      </c>
      <c r="O58" s="35" t="s">
        <v>649</v>
      </c>
      <c r="P58" s="35" t="s">
        <v>147</v>
      </c>
      <c r="Q58" s="35" t="s">
        <v>137</v>
      </c>
      <c r="R58" s="35" t="s">
        <v>634</v>
      </c>
    </row>
    <row r="59" spans="1:18">
      <c r="A59" s="36" t="s">
        <v>704</v>
      </c>
      <c r="B59" s="36" t="s">
        <v>90</v>
      </c>
      <c r="C59" s="36" t="s">
        <v>91</v>
      </c>
      <c r="D59" s="36">
        <v>1909</v>
      </c>
      <c r="E59" s="36" t="s">
        <v>93</v>
      </c>
      <c r="F59" s="36" t="s">
        <v>151</v>
      </c>
      <c r="G59" s="45">
        <v>11</v>
      </c>
      <c r="H59" s="45">
        <v>4</v>
      </c>
      <c r="I59" s="45">
        <v>16</v>
      </c>
      <c r="J59" s="45">
        <v>5</v>
      </c>
      <c r="K59" s="45">
        <v>21</v>
      </c>
      <c r="L59" s="36" t="s">
        <v>402</v>
      </c>
      <c r="M59" s="36" t="s">
        <v>402</v>
      </c>
      <c r="N59" s="36" t="s">
        <v>136</v>
      </c>
      <c r="O59" s="36" t="s">
        <v>639</v>
      </c>
      <c r="P59" s="36" t="s">
        <v>147</v>
      </c>
      <c r="Q59" s="36" t="s">
        <v>109</v>
      </c>
      <c r="R59" s="36" t="s">
        <v>634</v>
      </c>
    </row>
    <row r="60" spans="1:18">
      <c r="A60" s="35" t="s">
        <v>705</v>
      </c>
      <c r="B60" s="35" t="s">
        <v>90</v>
      </c>
      <c r="C60" s="35" t="s">
        <v>130</v>
      </c>
      <c r="D60" s="35">
        <v>1869</v>
      </c>
      <c r="E60" s="35" t="s">
        <v>141</v>
      </c>
      <c r="F60" s="35" t="s">
        <v>94</v>
      </c>
      <c r="G60" s="44">
        <v>22</v>
      </c>
      <c r="H60" s="44">
        <v>4</v>
      </c>
      <c r="I60" s="44">
        <v>4</v>
      </c>
      <c r="J60" s="44">
        <v>4</v>
      </c>
      <c r="K60" s="44">
        <v>8</v>
      </c>
      <c r="L60" s="35" t="s">
        <v>402</v>
      </c>
      <c r="M60" s="35" t="s">
        <v>402</v>
      </c>
      <c r="N60" s="35" t="s">
        <v>136</v>
      </c>
      <c r="O60" s="35" t="s">
        <v>649</v>
      </c>
      <c r="P60" s="35" t="s">
        <v>633</v>
      </c>
      <c r="Q60" s="35" t="s">
        <v>137</v>
      </c>
      <c r="R60" s="35" t="s">
        <v>634</v>
      </c>
    </row>
    <row r="61" spans="1:18">
      <c r="A61" s="36" t="s">
        <v>706</v>
      </c>
      <c r="B61" s="36" t="s">
        <v>196</v>
      </c>
      <c r="C61" s="36" t="s">
        <v>209</v>
      </c>
      <c r="D61" s="36">
        <v>1868</v>
      </c>
      <c r="E61" s="36" t="s">
        <v>168</v>
      </c>
      <c r="F61" s="36" t="s">
        <v>94</v>
      </c>
      <c r="G61" s="45">
        <v>94</v>
      </c>
      <c r="H61" s="45">
        <v>6</v>
      </c>
      <c r="I61" s="45">
        <v>8</v>
      </c>
      <c r="J61" s="45">
        <v>21</v>
      </c>
      <c r="K61" s="45">
        <v>29</v>
      </c>
      <c r="L61" s="36" t="s">
        <v>402</v>
      </c>
      <c r="M61" s="36" t="s">
        <v>402</v>
      </c>
      <c r="N61" s="36" t="s">
        <v>136</v>
      </c>
      <c r="O61" s="36" t="s">
        <v>632</v>
      </c>
      <c r="P61" s="36" t="s">
        <v>636</v>
      </c>
      <c r="Q61" s="36" t="s">
        <v>137</v>
      </c>
      <c r="R61" s="36" t="s">
        <v>637</v>
      </c>
    </row>
    <row r="62" spans="1:18">
      <c r="A62" s="35" t="s">
        <v>707</v>
      </c>
      <c r="B62" s="35" t="s">
        <v>257</v>
      </c>
      <c r="C62" s="35" t="s">
        <v>619</v>
      </c>
      <c r="D62" s="35">
        <v>1898</v>
      </c>
      <c r="E62" s="35" t="s">
        <v>141</v>
      </c>
      <c r="F62" s="35" t="s">
        <v>151</v>
      </c>
      <c r="G62" s="44">
        <v>69</v>
      </c>
      <c r="H62" s="44">
        <v>2</v>
      </c>
      <c r="I62" s="44">
        <v>22</v>
      </c>
      <c r="J62" s="44">
        <v>18</v>
      </c>
      <c r="K62" s="44">
        <v>40</v>
      </c>
      <c r="L62" s="35" t="s">
        <v>401</v>
      </c>
      <c r="M62" s="35" t="s">
        <v>402</v>
      </c>
      <c r="N62" s="35" t="s">
        <v>105</v>
      </c>
      <c r="O62" s="35" t="s">
        <v>632</v>
      </c>
      <c r="P62" s="35" t="s">
        <v>646</v>
      </c>
      <c r="Q62" s="35" t="s">
        <v>109</v>
      </c>
      <c r="R62" s="35" t="s">
        <v>653</v>
      </c>
    </row>
    <row r="63" spans="1:18">
      <c r="A63" s="36" t="s">
        <v>708</v>
      </c>
      <c r="B63" s="36" t="s">
        <v>196</v>
      </c>
      <c r="C63" s="36" t="s">
        <v>212</v>
      </c>
      <c r="D63" s="36">
        <v>1891</v>
      </c>
      <c r="E63" s="36" t="s">
        <v>93</v>
      </c>
      <c r="F63" s="36" t="s">
        <v>118</v>
      </c>
      <c r="G63" s="45">
        <v>119</v>
      </c>
      <c r="H63" s="45">
        <v>1</v>
      </c>
      <c r="I63" s="45">
        <v>13</v>
      </c>
      <c r="J63" s="45">
        <v>21</v>
      </c>
      <c r="K63" s="45">
        <v>34</v>
      </c>
      <c r="L63" s="36" t="s">
        <v>402</v>
      </c>
      <c r="M63" s="36" t="s">
        <v>401</v>
      </c>
      <c r="N63" s="36" t="s">
        <v>136</v>
      </c>
      <c r="O63" s="36" t="s">
        <v>632</v>
      </c>
      <c r="P63" s="36" t="s">
        <v>147</v>
      </c>
      <c r="Q63" s="36" t="s">
        <v>127</v>
      </c>
      <c r="R63" s="36" t="s">
        <v>637</v>
      </c>
    </row>
    <row r="64" spans="1:18">
      <c r="A64" s="35" t="s">
        <v>709</v>
      </c>
      <c r="B64" s="35" t="s">
        <v>196</v>
      </c>
      <c r="C64" s="35" t="s">
        <v>209</v>
      </c>
      <c r="D64" s="35">
        <v>1860</v>
      </c>
      <c r="E64" s="35" t="s">
        <v>141</v>
      </c>
      <c r="F64" s="35" t="s">
        <v>142</v>
      </c>
      <c r="G64" s="44">
        <v>93</v>
      </c>
      <c r="H64" s="44">
        <v>2</v>
      </c>
      <c r="I64" s="44">
        <v>12</v>
      </c>
      <c r="J64" s="44">
        <v>20</v>
      </c>
      <c r="K64" s="44">
        <v>32</v>
      </c>
      <c r="L64" s="35" t="s">
        <v>401</v>
      </c>
      <c r="M64" s="35" t="s">
        <v>402</v>
      </c>
      <c r="N64" s="35" t="s">
        <v>105</v>
      </c>
      <c r="O64" s="35" t="s">
        <v>632</v>
      </c>
      <c r="P64" s="35" t="s">
        <v>135</v>
      </c>
      <c r="Q64" s="35" t="s">
        <v>127</v>
      </c>
      <c r="R64" s="35" t="s">
        <v>637</v>
      </c>
    </row>
    <row r="65" spans="1:18">
      <c r="A65" s="36" t="s">
        <v>710</v>
      </c>
      <c r="B65" s="36" t="s">
        <v>90</v>
      </c>
      <c r="C65" s="36" t="s">
        <v>166</v>
      </c>
      <c r="D65" s="36">
        <v>1895</v>
      </c>
      <c r="E65" s="36" t="s">
        <v>93</v>
      </c>
      <c r="F65" s="36" t="s">
        <v>118</v>
      </c>
      <c r="G65" s="45">
        <v>36</v>
      </c>
      <c r="H65" s="45">
        <v>4</v>
      </c>
      <c r="I65" s="45">
        <v>16</v>
      </c>
      <c r="J65" s="45">
        <v>13</v>
      </c>
      <c r="K65" s="45">
        <v>29</v>
      </c>
      <c r="L65" s="36" t="s">
        <v>401</v>
      </c>
      <c r="M65" s="36" t="s">
        <v>402</v>
      </c>
      <c r="N65" s="36" t="s">
        <v>105</v>
      </c>
      <c r="O65" s="36" t="s">
        <v>632</v>
      </c>
      <c r="P65" s="36" t="s">
        <v>646</v>
      </c>
      <c r="Q65" s="36" t="s">
        <v>109</v>
      </c>
      <c r="R65" s="36" t="s">
        <v>634</v>
      </c>
    </row>
    <row r="66" spans="1:18">
      <c r="A66" s="35" t="s">
        <v>711</v>
      </c>
      <c r="B66" s="35" t="s">
        <v>196</v>
      </c>
      <c r="C66" s="35" t="s">
        <v>204</v>
      </c>
      <c r="D66" s="35">
        <v>1872</v>
      </c>
      <c r="E66" s="35" t="s">
        <v>141</v>
      </c>
      <c r="F66" s="35" t="s">
        <v>151</v>
      </c>
      <c r="G66" s="44">
        <v>115</v>
      </c>
      <c r="H66" s="44">
        <v>2</v>
      </c>
      <c r="I66" s="44">
        <v>24</v>
      </c>
      <c r="J66" s="44">
        <v>22</v>
      </c>
      <c r="K66" s="44">
        <v>46</v>
      </c>
      <c r="L66" s="35" t="s">
        <v>402</v>
      </c>
      <c r="M66" s="35" t="s">
        <v>402</v>
      </c>
      <c r="N66" s="35" t="s">
        <v>136</v>
      </c>
      <c r="O66" s="35" t="s">
        <v>632</v>
      </c>
      <c r="P66" s="35" t="s">
        <v>147</v>
      </c>
      <c r="Q66" s="35" t="s">
        <v>137</v>
      </c>
      <c r="R66" s="35" t="s">
        <v>637</v>
      </c>
    </row>
    <row r="67" spans="1:18">
      <c r="A67" s="36" t="s">
        <v>712</v>
      </c>
      <c r="B67" s="36" t="s">
        <v>196</v>
      </c>
      <c r="C67" s="36" t="s">
        <v>200</v>
      </c>
      <c r="D67" s="36">
        <v>1893</v>
      </c>
      <c r="E67" s="36" t="s">
        <v>168</v>
      </c>
      <c r="F67" s="36" t="s">
        <v>142</v>
      </c>
      <c r="G67" s="45">
        <v>98</v>
      </c>
      <c r="H67" s="45">
        <v>6</v>
      </c>
      <c r="I67" s="45">
        <v>20</v>
      </c>
      <c r="J67" s="45">
        <v>12</v>
      </c>
      <c r="K67" s="45">
        <v>32</v>
      </c>
      <c r="L67" s="36" t="s">
        <v>402</v>
      </c>
      <c r="M67" s="36" t="s">
        <v>401</v>
      </c>
      <c r="N67" s="36" t="s">
        <v>136</v>
      </c>
      <c r="O67" s="36" t="s">
        <v>632</v>
      </c>
      <c r="P67" s="36" t="s">
        <v>636</v>
      </c>
      <c r="Q67" s="36" t="s">
        <v>137</v>
      </c>
      <c r="R67" s="36" t="s">
        <v>637</v>
      </c>
    </row>
    <row r="68" spans="1:18">
      <c r="A68" s="35" t="s">
        <v>713</v>
      </c>
      <c r="B68" s="35" t="s">
        <v>90</v>
      </c>
      <c r="C68" s="35" t="s">
        <v>91</v>
      </c>
      <c r="D68" s="35">
        <v>1873</v>
      </c>
      <c r="E68" s="35" t="s">
        <v>93</v>
      </c>
      <c r="F68" s="35" t="s">
        <v>118</v>
      </c>
      <c r="G68" s="44">
        <v>28</v>
      </c>
      <c r="H68" s="44">
        <v>3</v>
      </c>
      <c r="I68" s="44">
        <v>17</v>
      </c>
      <c r="J68" s="44">
        <v>7</v>
      </c>
      <c r="K68" s="44">
        <v>24</v>
      </c>
      <c r="L68" s="35" t="s">
        <v>402</v>
      </c>
      <c r="M68" s="35" t="s">
        <v>402</v>
      </c>
      <c r="N68" s="35" t="s">
        <v>136</v>
      </c>
      <c r="O68" s="35" t="s">
        <v>632</v>
      </c>
      <c r="P68" s="35" t="s">
        <v>135</v>
      </c>
      <c r="Q68" s="35" t="s">
        <v>127</v>
      </c>
      <c r="R68" s="35" t="s">
        <v>634</v>
      </c>
    </row>
    <row r="69" spans="1:18">
      <c r="A69" s="36" t="s">
        <v>714</v>
      </c>
      <c r="B69" s="36" t="s">
        <v>196</v>
      </c>
      <c r="C69" s="36" t="s">
        <v>218</v>
      </c>
      <c r="D69" s="36">
        <v>1917</v>
      </c>
      <c r="E69" s="36" t="s">
        <v>168</v>
      </c>
      <c r="F69" s="36" t="s">
        <v>142</v>
      </c>
      <c r="G69" s="45">
        <v>82</v>
      </c>
      <c r="H69" s="45">
        <v>2</v>
      </c>
      <c r="I69" s="45">
        <v>8</v>
      </c>
      <c r="J69" s="45">
        <v>9</v>
      </c>
      <c r="K69" s="45">
        <v>17</v>
      </c>
      <c r="L69" s="36" t="s">
        <v>401</v>
      </c>
      <c r="M69" s="36" t="s">
        <v>402</v>
      </c>
      <c r="N69" s="36" t="s">
        <v>105</v>
      </c>
      <c r="O69" s="36" t="s">
        <v>639</v>
      </c>
      <c r="P69" s="36" t="s">
        <v>646</v>
      </c>
      <c r="Q69" s="36" t="s">
        <v>109</v>
      </c>
      <c r="R69" s="36" t="s">
        <v>637</v>
      </c>
    </row>
    <row r="70" spans="1:18">
      <c r="A70" s="35" t="s">
        <v>715</v>
      </c>
      <c r="B70" s="35" t="s">
        <v>90</v>
      </c>
      <c r="C70" s="35" t="s">
        <v>116</v>
      </c>
      <c r="D70" s="35">
        <v>1865</v>
      </c>
      <c r="E70" s="35" t="s">
        <v>93</v>
      </c>
      <c r="F70" s="35" t="s">
        <v>94</v>
      </c>
      <c r="G70" s="44">
        <v>25</v>
      </c>
      <c r="H70" s="44">
        <v>0</v>
      </c>
      <c r="I70" s="44">
        <v>10</v>
      </c>
      <c r="J70" s="44">
        <v>7</v>
      </c>
      <c r="K70" s="44">
        <v>17</v>
      </c>
      <c r="L70" s="35" t="s">
        <v>402</v>
      </c>
      <c r="M70" s="35" t="s">
        <v>402</v>
      </c>
      <c r="N70" s="35" t="s">
        <v>136</v>
      </c>
      <c r="O70" s="35" t="s">
        <v>639</v>
      </c>
      <c r="P70" s="35" t="s">
        <v>636</v>
      </c>
      <c r="Q70" s="35" t="s">
        <v>137</v>
      </c>
      <c r="R70" s="35" t="s">
        <v>634</v>
      </c>
    </row>
    <row r="71" spans="1:18">
      <c r="A71" s="36" t="s">
        <v>716</v>
      </c>
      <c r="B71" s="36" t="s">
        <v>90</v>
      </c>
      <c r="C71" s="36" t="s">
        <v>145</v>
      </c>
      <c r="D71" s="36">
        <v>1882</v>
      </c>
      <c r="E71" s="36" t="s">
        <v>93</v>
      </c>
      <c r="F71" s="36" t="s">
        <v>142</v>
      </c>
      <c r="G71" s="45">
        <v>64</v>
      </c>
      <c r="H71" s="45">
        <v>4</v>
      </c>
      <c r="I71" s="45">
        <v>10</v>
      </c>
      <c r="J71" s="45">
        <v>3</v>
      </c>
      <c r="K71" s="45">
        <v>13</v>
      </c>
      <c r="L71" s="36" t="s">
        <v>402</v>
      </c>
      <c r="M71" s="36" t="s">
        <v>401</v>
      </c>
      <c r="N71" s="36" t="s">
        <v>136</v>
      </c>
      <c r="O71" s="36" t="s">
        <v>639</v>
      </c>
      <c r="P71" s="36" t="s">
        <v>104</v>
      </c>
      <c r="Q71" s="36" t="s">
        <v>137</v>
      </c>
      <c r="R71" s="36" t="s">
        <v>634</v>
      </c>
    </row>
    <row r="72" spans="1:18">
      <c r="A72" s="35" t="s">
        <v>717</v>
      </c>
      <c r="B72" s="35" t="s">
        <v>90</v>
      </c>
      <c r="C72" s="35" t="s">
        <v>130</v>
      </c>
      <c r="D72" s="35">
        <v>1867</v>
      </c>
      <c r="E72" s="35" t="s">
        <v>93</v>
      </c>
      <c r="F72" s="35" t="s">
        <v>151</v>
      </c>
      <c r="G72" s="44">
        <v>32</v>
      </c>
      <c r="H72" s="44">
        <v>3</v>
      </c>
      <c r="I72" s="44">
        <v>14</v>
      </c>
      <c r="J72" s="44">
        <v>12</v>
      </c>
      <c r="K72" s="44">
        <v>26</v>
      </c>
      <c r="L72" s="35" t="s">
        <v>401</v>
      </c>
      <c r="M72" s="35" t="s">
        <v>402</v>
      </c>
      <c r="N72" s="35" t="s">
        <v>105</v>
      </c>
      <c r="O72" s="35" t="s">
        <v>632</v>
      </c>
      <c r="P72" s="35" t="s">
        <v>147</v>
      </c>
      <c r="Q72" s="35" t="s">
        <v>109</v>
      </c>
      <c r="R72" s="35" t="s">
        <v>634</v>
      </c>
    </row>
    <row r="73" spans="1:18">
      <c r="A73" s="36" t="s">
        <v>718</v>
      </c>
      <c r="B73" s="36" t="s">
        <v>196</v>
      </c>
      <c r="C73" s="36" t="s">
        <v>218</v>
      </c>
      <c r="D73" s="36">
        <v>1869</v>
      </c>
      <c r="E73" s="36" t="s">
        <v>93</v>
      </c>
      <c r="F73" s="36" t="s">
        <v>118</v>
      </c>
      <c r="G73" s="45">
        <v>65</v>
      </c>
      <c r="H73" s="45">
        <v>8</v>
      </c>
      <c r="I73" s="45">
        <v>31</v>
      </c>
      <c r="J73" s="45">
        <v>8</v>
      </c>
      <c r="K73" s="45">
        <v>39</v>
      </c>
      <c r="L73" s="36" t="s">
        <v>402</v>
      </c>
      <c r="M73" s="36" t="s">
        <v>401</v>
      </c>
      <c r="N73" s="36" t="s">
        <v>136</v>
      </c>
      <c r="O73" s="36" t="s">
        <v>632</v>
      </c>
      <c r="P73" s="36" t="s">
        <v>104</v>
      </c>
      <c r="Q73" s="36" t="s">
        <v>109</v>
      </c>
      <c r="R73" s="36" t="s">
        <v>637</v>
      </c>
    </row>
    <row r="74" spans="1:18">
      <c r="A74" s="35" t="s">
        <v>719</v>
      </c>
      <c r="B74" s="35" t="s">
        <v>90</v>
      </c>
      <c r="C74" s="35" t="s">
        <v>139</v>
      </c>
      <c r="D74" s="35">
        <v>1865</v>
      </c>
      <c r="E74" s="35" t="s">
        <v>168</v>
      </c>
      <c r="F74" s="35" t="s">
        <v>118</v>
      </c>
      <c r="G74" s="44">
        <v>28</v>
      </c>
      <c r="H74" s="44">
        <v>4</v>
      </c>
      <c r="I74" s="44">
        <v>16</v>
      </c>
      <c r="J74" s="44">
        <v>13</v>
      </c>
      <c r="K74" s="44">
        <v>29</v>
      </c>
      <c r="L74" s="35" t="s">
        <v>402</v>
      </c>
      <c r="M74" s="35" t="s">
        <v>402</v>
      </c>
      <c r="N74" s="35" t="s">
        <v>136</v>
      </c>
      <c r="O74" s="35" t="s">
        <v>632</v>
      </c>
      <c r="P74" s="35" t="s">
        <v>135</v>
      </c>
      <c r="Q74" s="35" t="s">
        <v>109</v>
      </c>
      <c r="R74" s="35" t="s">
        <v>634</v>
      </c>
    </row>
    <row r="75" spans="1:18">
      <c r="A75" s="36" t="s">
        <v>720</v>
      </c>
      <c r="B75" s="36" t="s">
        <v>248</v>
      </c>
      <c r="C75" s="36" t="s">
        <v>645</v>
      </c>
      <c r="D75" s="36">
        <v>1905</v>
      </c>
      <c r="E75" s="36" t="s">
        <v>93</v>
      </c>
      <c r="F75" s="36" t="s">
        <v>151</v>
      </c>
      <c r="G75" s="45">
        <v>45</v>
      </c>
      <c r="H75" s="45">
        <v>2</v>
      </c>
      <c r="I75" s="45">
        <v>18</v>
      </c>
      <c r="J75" s="45">
        <v>7</v>
      </c>
      <c r="K75" s="45">
        <v>25</v>
      </c>
      <c r="L75" s="36" t="s">
        <v>402</v>
      </c>
      <c r="M75" s="36" t="s">
        <v>402</v>
      </c>
      <c r="N75" s="36" t="s">
        <v>136</v>
      </c>
      <c r="O75" s="36" t="s">
        <v>632</v>
      </c>
      <c r="P75" s="36" t="s">
        <v>147</v>
      </c>
      <c r="Q75" s="36" t="s">
        <v>137</v>
      </c>
      <c r="R75" s="36" t="s">
        <v>647</v>
      </c>
    </row>
    <row r="76" spans="1:18">
      <c r="A76" s="35" t="s">
        <v>721</v>
      </c>
      <c r="B76" s="35" t="s">
        <v>90</v>
      </c>
      <c r="C76" s="35" t="s">
        <v>91</v>
      </c>
      <c r="D76" s="35">
        <v>1923</v>
      </c>
      <c r="E76" s="35" t="s">
        <v>168</v>
      </c>
      <c r="F76" s="35" t="s">
        <v>142</v>
      </c>
      <c r="G76" s="44">
        <v>14</v>
      </c>
      <c r="H76" s="44">
        <v>0</v>
      </c>
      <c r="I76" s="44">
        <v>11</v>
      </c>
      <c r="J76" s="44">
        <v>8</v>
      </c>
      <c r="K76" s="44">
        <v>19</v>
      </c>
      <c r="L76" s="35" t="s">
        <v>402</v>
      </c>
      <c r="M76" s="35" t="s">
        <v>402</v>
      </c>
      <c r="N76" s="35" t="s">
        <v>136</v>
      </c>
      <c r="O76" s="35" t="s">
        <v>639</v>
      </c>
      <c r="P76" s="35" t="s">
        <v>646</v>
      </c>
      <c r="Q76" s="35" t="s">
        <v>127</v>
      </c>
      <c r="R76" s="35" t="s">
        <v>634</v>
      </c>
    </row>
    <row r="77" spans="1:18">
      <c r="A77" s="36" t="s">
        <v>722</v>
      </c>
      <c r="B77" s="36" t="s">
        <v>90</v>
      </c>
      <c r="C77" s="36" t="s">
        <v>130</v>
      </c>
      <c r="D77" s="36">
        <v>1891</v>
      </c>
      <c r="E77" s="36" t="s">
        <v>141</v>
      </c>
      <c r="F77" s="36" t="s">
        <v>118</v>
      </c>
      <c r="G77" s="45">
        <v>55</v>
      </c>
      <c r="H77" s="45">
        <v>2</v>
      </c>
      <c r="I77" s="45">
        <v>18</v>
      </c>
      <c r="J77" s="45">
        <v>10</v>
      </c>
      <c r="K77" s="45">
        <v>28</v>
      </c>
      <c r="L77" s="36" t="s">
        <v>401</v>
      </c>
      <c r="M77" s="36" t="s">
        <v>402</v>
      </c>
      <c r="N77" s="36" t="s">
        <v>105</v>
      </c>
      <c r="O77" s="36" t="s">
        <v>632</v>
      </c>
      <c r="P77" s="36" t="s">
        <v>147</v>
      </c>
      <c r="Q77" s="36" t="s">
        <v>109</v>
      </c>
      <c r="R77" s="36" t="s">
        <v>634</v>
      </c>
    </row>
    <row r="78" spans="1:18">
      <c r="A78" s="35" t="s">
        <v>723</v>
      </c>
      <c r="B78" s="35" t="s">
        <v>90</v>
      </c>
      <c r="C78" s="35" t="s">
        <v>145</v>
      </c>
      <c r="D78" s="35">
        <v>1909</v>
      </c>
      <c r="E78" s="35" t="s">
        <v>168</v>
      </c>
      <c r="F78" s="35" t="s">
        <v>151</v>
      </c>
      <c r="G78" s="44">
        <v>10</v>
      </c>
      <c r="H78" s="44">
        <v>2</v>
      </c>
      <c r="I78" s="44">
        <v>10</v>
      </c>
      <c r="J78" s="44">
        <v>2</v>
      </c>
      <c r="K78" s="44">
        <v>12</v>
      </c>
      <c r="L78" s="35" t="s">
        <v>401</v>
      </c>
      <c r="M78" s="35" t="s">
        <v>402</v>
      </c>
      <c r="N78" s="35" t="s">
        <v>105</v>
      </c>
      <c r="O78" s="35" t="s">
        <v>639</v>
      </c>
      <c r="P78" s="35" t="s">
        <v>633</v>
      </c>
      <c r="Q78" s="35" t="s">
        <v>137</v>
      </c>
      <c r="R78" s="35" t="s">
        <v>634</v>
      </c>
    </row>
    <row r="79" spans="1:18">
      <c r="A79" s="36" t="s">
        <v>724</v>
      </c>
      <c r="B79" s="36" t="s">
        <v>257</v>
      </c>
      <c r="C79" s="36" t="s">
        <v>615</v>
      </c>
      <c r="D79" s="36">
        <v>1905</v>
      </c>
      <c r="E79" s="36" t="s">
        <v>141</v>
      </c>
      <c r="F79" s="36" t="s">
        <v>151</v>
      </c>
      <c r="G79" s="45">
        <v>30</v>
      </c>
      <c r="H79" s="45">
        <v>0</v>
      </c>
      <c r="I79" s="45">
        <v>11</v>
      </c>
      <c r="J79" s="45">
        <v>10</v>
      </c>
      <c r="K79" s="45">
        <v>21</v>
      </c>
      <c r="L79" s="36" t="s">
        <v>402</v>
      </c>
      <c r="M79" s="36" t="s">
        <v>401</v>
      </c>
      <c r="N79" s="36" t="s">
        <v>136</v>
      </c>
      <c r="O79" s="36" t="s">
        <v>639</v>
      </c>
      <c r="P79" s="36" t="s">
        <v>104</v>
      </c>
      <c r="Q79" s="36" t="s">
        <v>127</v>
      </c>
      <c r="R79" s="36" t="s">
        <v>653</v>
      </c>
    </row>
    <row r="80" spans="1:18">
      <c r="A80" s="35" t="s">
        <v>725</v>
      </c>
      <c r="B80" s="35" t="s">
        <v>90</v>
      </c>
      <c r="C80" s="35" t="s">
        <v>145</v>
      </c>
      <c r="D80" s="35">
        <v>1888</v>
      </c>
      <c r="E80" s="35" t="s">
        <v>141</v>
      </c>
      <c r="F80" s="35" t="s">
        <v>142</v>
      </c>
      <c r="G80" s="44">
        <v>52</v>
      </c>
      <c r="H80" s="44">
        <v>1</v>
      </c>
      <c r="I80" s="44">
        <v>8</v>
      </c>
      <c r="J80" s="44">
        <v>5</v>
      </c>
      <c r="K80" s="44">
        <v>13</v>
      </c>
      <c r="L80" s="35" t="s">
        <v>402</v>
      </c>
      <c r="M80" s="35" t="s">
        <v>401</v>
      </c>
      <c r="N80" s="35" t="s">
        <v>136</v>
      </c>
      <c r="O80" s="35" t="s">
        <v>639</v>
      </c>
      <c r="P80" s="35" t="s">
        <v>646</v>
      </c>
      <c r="Q80" s="35" t="s">
        <v>109</v>
      </c>
      <c r="R80" s="35" t="s">
        <v>634</v>
      </c>
    </row>
    <row r="81" spans="1:18">
      <c r="A81" s="36" t="s">
        <v>726</v>
      </c>
      <c r="B81" s="36" t="s">
        <v>196</v>
      </c>
      <c r="C81" s="36" t="s">
        <v>197</v>
      </c>
      <c r="D81" s="36">
        <v>1863</v>
      </c>
      <c r="E81" s="36" t="s">
        <v>141</v>
      </c>
      <c r="F81" s="36" t="s">
        <v>94</v>
      </c>
      <c r="G81" s="45">
        <v>51</v>
      </c>
      <c r="H81" s="45">
        <v>4</v>
      </c>
      <c r="I81" s="45">
        <v>32</v>
      </c>
      <c r="J81" s="45">
        <v>19</v>
      </c>
      <c r="K81" s="45">
        <v>51</v>
      </c>
      <c r="L81" s="36" t="s">
        <v>402</v>
      </c>
      <c r="M81" s="36" t="s">
        <v>402</v>
      </c>
      <c r="N81" s="36" t="s">
        <v>136</v>
      </c>
      <c r="O81" s="36" t="s">
        <v>667</v>
      </c>
      <c r="P81" s="36" t="s">
        <v>104</v>
      </c>
      <c r="Q81" s="36" t="s">
        <v>137</v>
      </c>
      <c r="R81" s="36" t="s">
        <v>637</v>
      </c>
    </row>
    <row r="82" spans="1:18">
      <c r="A82" s="35" t="s">
        <v>727</v>
      </c>
      <c r="B82" s="35" t="s">
        <v>196</v>
      </c>
      <c r="C82" s="35" t="s">
        <v>197</v>
      </c>
      <c r="D82" s="35">
        <v>1889</v>
      </c>
      <c r="E82" s="35" t="s">
        <v>141</v>
      </c>
      <c r="F82" s="35" t="s">
        <v>151</v>
      </c>
      <c r="G82" s="44">
        <v>20</v>
      </c>
      <c r="H82" s="44">
        <v>9</v>
      </c>
      <c r="I82" s="44">
        <v>21</v>
      </c>
      <c r="J82" s="44">
        <v>4</v>
      </c>
      <c r="K82" s="44">
        <v>25</v>
      </c>
      <c r="L82" s="35" t="s">
        <v>402</v>
      </c>
      <c r="M82" s="35" t="s">
        <v>402</v>
      </c>
      <c r="N82" s="35" t="s">
        <v>136</v>
      </c>
      <c r="O82" s="35" t="s">
        <v>632</v>
      </c>
      <c r="P82" s="35" t="s">
        <v>147</v>
      </c>
      <c r="Q82" s="35" t="s">
        <v>109</v>
      </c>
      <c r="R82" s="35" t="s">
        <v>637</v>
      </c>
    </row>
    <row r="83" spans="1:18">
      <c r="A83" s="36" t="s">
        <v>728</v>
      </c>
      <c r="B83" s="36" t="s">
        <v>90</v>
      </c>
      <c r="C83" s="36" t="s">
        <v>156</v>
      </c>
      <c r="D83" s="36">
        <v>1882</v>
      </c>
      <c r="E83" s="36" t="s">
        <v>168</v>
      </c>
      <c r="F83" s="36" t="s">
        <v>118</v>
      </c>
      <c r="G83" s="45">
        <v>9</v>
      </c>
      <c r="H83" s="45">
        <v>1</v>
      </c>
      <c r="I83" s="45">
        <v>7</v>
      </c>
      <c r="J83" s="45">
        <v>14</v>
      </c>
      <c r="K83" s="45">
        <v>21</v>
      </c>
      <c r="L83" s="36" t="s">
        <v>402</v>
      </c>
      <c r="M83" s="36" t="s">
        <v>402</v>
      </c>
      <c r="N83" s="36" t="s">
        <v>136</v>
      </c>
      <c r="O83" s="36" t="s">
        <v>639</v>
      </c>
      <c r="P83" s="36" t="s">
        <v>104</v>
      </c>
      <c r="Q83" s="36" t="s">
        <v>137</v>
      </c>
      <c r="R83" s="36" t="s">
        <v>634</v>
      </c>
    </row>
    <row r="84" spans="1:18">
      <c r="A84" s="35" t="s">
        <v>729</v>
      </c>
      <c r="B84" s="35" t="s">
        <v>248</v>
      </c>
      <c r="C84" s="35" t="s">
        <v>253</v>
      </c>
      <c r="D84" s="35">
        <v>1907</v>
      </c>
      <c r="E84" s="35" t="s">
        <v>141</v>
      </c>
      <c r="F84" s="35" t="s">
        <v>142</v>
      </c>
      <c r="G84" s="44">
        <v>85</v>
      </c>
      <c r="H84" s="44">
        <v>0</v>
      </c>
      <c r="I84" s="44">
        <v>14</v>
      </c>
      <c r="J84" s="44">
        <v>12</v>
      </c>
      <c r="K84" s="44">
        <v>26</v>
      </c>
      <c r="L84" s="35" t="s">
        <v>402</v>
      </c>
      <c r="M84" s="35" t="s">
        <v>401</v>
      </c>
      <c r="N84" s="35" t="s">
        <v>136</v>
      </c>
      <c r="O84" s="35" t="s">
        <v>632</v>
      </c>
      <c r="P84" s="35" t="s">
        <v>633</v>
      </c>
      <c r="Q84" s="35" t="s">
        <v>109</v>
      </c>
      <c r="R84" s="35" t="s">
        <v>647</v>
      </c>
    </row>
    <row r="85" spans="1:18">
      <c r="A85" s="36" t="s">
        <v>730</v>
      </c>
      <c r="B85" s="36" t="s">
        <v>90</v>
      </c>
      <c r="C85" s="36" t="s">
        <v>130</v>
      </c>
      <c r="D85" s="36">
        <v>1922</v>
      </c>
      <c r="E85" s="36" t="s">
        <v>141</v>
      </c>
      <c r="F85" s="36" t="s">
        <v>94</v>
      </c>
      <c r="G85" s="45">
        <v>29</v>
      </c>
      <c r="H85" s="45">
        <v>4</v>
      </c>
      <c r="I85" s="45">
        <v>14</v>
      </c>
      <c r="J85" s="45">
        <v>5</v>
      </c>
      <c r="K85" s="45">
        <v>19</v>
      </c>
      <c r="L85" s="36" t="s">
        <v>401</v>
      </c>
      <c r="M85" s="36" t="s">
        <v>401</v>
      </c>
      <c r="N85" s="36" t="s">
        <v>105</v>
      </c>
      <c r="O85" s="36" t="s">
        <v>639</v>
      </c>
      <c r="P85" s="36" t="s">
        <v>657</v>
      </c>
      <c r="Q85" s="36" t="s">
        <v>137</v>
      </c>
      <c r="R85" s="36" t="s">
        <v>634</v>
      </c>
    </row>
    <row r="86" spans="1:18">
      <c r="A86" s="35" t="s">
        <v>731</v>
      </c>
      <c r="B86" s="35" t="s">
        <v>196</v>
      </c>
      <c r="C86" s="35" t="s">
        <v>215</v>
      </c>
      <c r="D86" s="35">
        <v>1897</v>
      </c>
      <c r="E86" s="35" t="s">
        <v>93</v>
      </c>
      <c r="F86" s="35" t="s">
        <v>151</v>
      </c>
      <c r="G86" s="44">
        <v>15</v>
      </c>
      <c r="H86" s="44">
        <v>7</v>
      </c>
      <c r="I86" s="44">
        <v>33</v>
      </c>
      <c r="J86" s="44">
        <v>22</v>
      </c>
      <c r="K86" s="44">
        <v>55</v>
      </c>
      <c r="L86" s="35" t="s">
        <v>402</v>
      </c>
      <c r="M86" s="35" t="s">
        <v>402</v>
      </c>
      <c r="N86" s="35" t="s">
        <v>136</v>
      </c>
      <c r="O86" s="35" t="s">
        <v>667</v>
      </c>
      <c r="P86" s="35" t="s">
        <v>646</v>
      </c>
      <c r="Q86" s="35" t="s">
        <v>127</v>
      </c>
      <c r="R86" s="35" t="s">
        <v>637</v>
      </c>
    </row>
    <row r="87" spans="1:18">
      <c r="A87" s="36" t="s">
        <v>732</v>
      </c>
      <c r="B87" s="36" t="s">
        <v>90</v>
      </c>
      <c r="C87" s="36" t="s">
        <v>91</v>
      </c>
      <c r="D87" s="36">
        <v>1888</v>
      </c>
      <c r="E87" s="36" t="s">
        <v>141</v>
      </c>
      <c r="F87" s="36" t="s">
        <v>118</v>
      </c>
      <c r="G87" s="45">
        <v>70</v>
      </c>
      <c r="H87" s="45">
        <v>1</v>
      </c>
      <c r="I87" s="45">
        <v>13</v>
      </c>
      <c r="J87" s="45">
        <v>13</v>
      </c>
      <c r="K87" s="45">
        <v>26</v>
      </c>
      <c r="L87" s="36" t="s">
        <v>402</v>
      </c>
      <c r="M87" s="36" t="s">
        <v>402</v>
      </c>
      <c r="N87" s="36" t="s">
        <v>136</v>
      </c>
      <c r="O87" s="36" t="s">
        <v>632</v>
      </c>
      <c r="P87" s="36" t="s">
        <v>657</v>
      </c>
      <c r="Q87" s="36" t="s">
        <v>137</v>
      </c>
      <c r="R87" s="36" t="s">
        <v>634</v>
      </c>
    </row>
    <row r="88" spans="1:18">
      <c r="A88" s="35" t="s">
        <v>733</v>
      </c>
      <c r="B88" s="35" t="s">
        <v>196</v>
      </c>
      <c r="C88" s="35" t="s">
        <v>215</v>
      </c>
      <c r="D88" s="35">
        <v>1871</v>
      </c>
      <c r="E88" s="35" t="s">
        <v>141</v>
      </c>
      <c r="F88" s="35" t="s">
        <v>94</v>
      </c>
      <c r="G88" s="44">
        <v>129</v>
      </c>
      <c r="H88" s="44">
        <v>1</v>
      </c>
      <c r="I88" s="44">
        <v>14</v>
      </c>
      <c r="J88" s="44">
        <v>10</v>
      </c>
      <c r="K88" s="44">
        <v>24</v>
      </c>
      <c r="L88" s="35" t="s">
        <v>402</v>
      </c>
      <c r="M88" s="35" t="s">
        <v>402</v>
      </c>
      <c r="N88" s="35" t="s">
        <v>136</v>
      </c>
      <c r="O88" s="35" t="s">
        <v>632</v>
      </c>
      <c r="P88" s="35" t="s">
        <v>104</v>
      </c>
      <c r="Q88" s="35" t="s">
        <v>137</v>
      </c>
      <c r="R88" s="35" t="s">
        <v>637</v>
      </c>
    </row>
    <row r="89" spans="1:18">
      <c r="A89" s="36" t="s">
        <v>734</v>
      </c>
      <c r="B89" s="36" t="s">
        <v>196</v>
      </c>
      <c r="C89" s="36" t="s">
        <v>215</v>
      </c>
      <c r="D89" s="36">
        <v>1860</v>
      </c>
      <c r="E89" s="36" t="s">
        <v>93</v>
      </c>
      <c r="F89" s="36" t="s">
        <v>142</v>
      </c>
      <c r="G89" s="45">
        <v>127</v>
      </c>
      <c r="H89" s="45">
        <v>7</v>
      </c>
      <c r="I89" s="45">
        <v>11</v>
      </c>
      <c r="J89" s="45">
        <v>17</v>
      </c>
      <c r="K89" s="45">
        <v>28</v>
      </c>
      <c r="L89" s="36" t="s">
        <v>402</v>
      </c>
      <c r="M89" s="36" t="s">
        <v>402</v>
      </c>
      <c r="N89" s="36" t="s">
        <v>136</v>
      </c>
      <c r="O89" s="36" t="s">
        <v>632</v>
      </c>
      <c r="P89" s="36" t="s">
        <v>104</v>
      </c>
      <c r="Q89" s="36" t="s">
        <v>109</v>
      </c>
      <c r="R89" s="36" t="s">
        <v>637</v>
      </c>
    </row>
    <row r="90" spans="1:18">
      <c r="A90" s="35" t="s">
        <v>735</v>
      </c>
      <c r="B90" s="35" t="s">
        <v>196</v>
      </c>
      <c r="C90" s="35" t="s">
        <v>197</v>
      </c>
      <c r="D90" s="35">
        <v>1921</v>
      </c>
      <c r="E90" s="35" t="s">
        <v>141</v>
      </c>
      <c r="F90" s="35" t="s">
        <v>151</v>
      </c>
      <c r="G90" s="44">
        <v>56</v>
      </c>
      <c r="H90" s="44">
        <v>8</v>
      </c>
      <c r="I90" s="44">
        <v>8</v>
      </c>
      <c r="J90" s="44">
        <v>5</v>
      </c>
      <c r="K90" s="44">
        <v>13</v>
      </c>
      <c r="L90" s="35" t="s">
        <v>402</v>
      </c>
      <c r="M90" s="35" t="s">
        <v>402</v>
      </c>
      <c r="N90" s="35" t="s">
        <v>136</v>
      </c>
      <c r="O90" s="35" t="s">
        <v>639</v>
      </c>
      <c r="P90" s="35" t="s">
        <v>104</v>
      </c>
      <c r="Q90" s="35" t="s">
        <v>127</v>
      </c>
      <c r="R90" s="35" t="s">
        <v>637</v>
      </c>
    </row>
    <row r="91" spans="1:18">
      <c r="A91" s="36" t="s">
        <v>736</v>
      </c>
      <c r="B91" s="36" t="s">
        <v>196</v>
      </c>
      <c r="C91" s="36" t="s">
        <v>200</v>
      </c>
      <c r="D91" s="36">
        <v>1903</v>
      </c>
      <c r="E91" s="36" t="s">
        <v>93</v>
      </c>
      <c r="F91" s="36" t="s">
        <v>142</v>
      </c>
      <c r="G91" s="45">
        <v>56</v>
      </c>
      <c r="H91" s="45">
        <v>2</v>
      </c>
      <c r="I91" s="45">
        <v>23</v>
      </c>
      <c r="J91" s="45">
        <v>6</v>
      </c>
      <c r="K91" s="45">
        <v>29</v>
      </c>
      <c r="L91" s="36" t="s">
        <v>402</v>
      </c>
      <c r="M91" s="36" t="s">
        <v>401</v>
      </c>
      <c r="N91" s="36" t="s">
        <v>136</v>
      </c>
      <c r="O91" s="36" t="s">
        <v>632</v>
      </c>
      <c r="P91" s="36" t="s">
        <v>657</v>
      </c>
      <c r="Q91" s="36" t="s">
        <v>127</v>
      </c>
      <c r="R91" s="36" t="s">
        <v>637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showGridLines="0" tabSelected="1" topLeftCell="A12" zoomScaleNormal="100" workbookViewId="0">
      <selection activeCell="I45" sqref="I45"/>
    </sheetView>
  </sheetViews>
  <sheetFormatPr baseColWidth="10" defaultColWidth="8.5" defaultRowHeight="16"/>
  <cols>
    <col min="1" max="1" width="46" customWidth="1"/>
    <col min="2" max="2" width="12" customWidth="1"/>
    <col min="3" max="3" width="8" customWidth="1"/>
    <col min="4" max="6" width="12" customWidth="1"/>
  </cols>
  <sheetData>
    <row r="1" spans="1:6" ht="36" customHeight="1">
      <c r="A1" s="6" t="s">
        <v>737</v>
      </c>
      <c r="B1" s="6"/>
      <c r="C1" s="6"/>
      <c r="D1" s="6"/>
      <c r="E1" s="6"/>
      <c r="F1" s="6"/>
    </row>
    <row r="2" spans="1:6" ht="19.5" customHeight="1">
      <c r="A2" s="5" t="s">
        <v>738</v>
      </c>
      <c r="B2" s="5"/>
      <c r="C2" s="5"/>
      <c r="D2" s="5"/>
      <c r="E2" s="5"/>
      <c r="F2" s="5"/>
    </row>
    <row r="4" spans="1:6" ht="24" customHeight="1">
      <c r="A4" s="4" t="s">
        <v>739</v>
      </c>
      <c r="B4" s="4"/>
      <c r="C4" s="4"/>
      <c r="D4" s="4"/>
      <c r="E4" s="4"/>
      <c r="F4" s="4"/>
    </row>
    <row r="5" spans="1:6" ht="19.5" customHeight="1">
      <c r="A5" s="46" t="s">
        <v>740</v>
      </c>
      <c r="B5" s="3">
        <f>COUNTA(Civil_Debt_Cases!A5:A200)</f>
        <v>60</v>
      </c>
      <c r="C5" s="3"/>
    </row>
    <row r="6" spans="1:6" ht="19.5" customHeight="1">
      <c r="A6" s="47" t="s">
        <v>741</v>
      </c>
      <c r="B6" s="2">
        <f>COUNTIF(Civil_Debt_Cases!B5:B200,"Bombay")</f>
        <v>27</v>
      </c>
      <c r="C6" s="2"/>
    </row>
    <row r="7" spans="1:6" ht="19.5" customHeight="1">
      <c r="A7" s="46" t="s">
        <v>742</v>
      </c>
      <c r="B7" s="3">
        <f>COUNTIF(Civil_Debt_Cases!B5:B200,"Punjab")</f>
        <v>27</v>
      </c>
      <c r="C7" s="3"/>
    </row>
    <row r="8" spans="1:6" ht="19.5" customHeight="1">
      <c r="A8" s="47" t="s">
        <v>743</v>
      </c>
      <c r="B8" s="2">
        <f>COUNTIF(Civil_Debt_Cases!B5:B200,"Bengal")</f>
        <v>4</v>
      </c>
      <c r="C8" s="2"/>
    </row>
    <row r="9" spans="1:6" ht="19.5" customHeight="1">
      <c r="A9" s="46" t="s">
        <v>744</v>
      </c>
      <c r="B9" s="3">
        <f>COUNTIF(Civil_Debt_Cases!B5:B200,"Madras")</f>
        <v>2</v>
      </c>
      <c r="C9" s="3"/>
    </row>
    <row r="10" spans="1:6" ht="19.5" customHeight="1">
      <c r="A10" s="47" t="s">
        <v>745</v>
      </c>
      <c r="B10" s="2">
        <f>COUNTIF(Civil_Debt_Cases!Y5:Y200,"Ex parte")</f>
        <v>47</v>
      </c>
      <c r="C10" s="2"/>
    </row>
    <row r="11" spans="1:6" ht="19.5" customHeight="1">
      <c r="A11" s="46" t="s">
        <v>746</v>
      </c>
      <c r="B11" s="3">
        <f>COUNTIF(Civil_Debt_Cases!AB5:AB200,"Yes")</f>
        <v>0</v>
      </c>
      <c r="C11" s="3"/>
    </row>
    <row r="12" spans="1:6" ht="19.5" customHeight="1">
      <c r="A12" s="47" t="s">
        <v>747</v>
      </c>
      <c r="B12" s="2">
        <f>COUNTIF(Civil_Debt_Cases!AD5:AD200,"Yes")</f>
        <v>11</v>
      </c>
      <c r="C12" s="2"/>
    </row>
    <row r="13" spans="1:6" ht="19.5" customHeight="1">
      <c r="A13" s="46" t="s">
        <v>748</v>
      </c>
      <c r="B13" s="3">
        <f>COUNTIFS(Civil_Debt_Cases!B5:B200,"Punjab",Civil_Debt_Cases!AI5:AI200,"Yes")</f>
        <v>1</v>
      </c>
      <c r="C13" s="3"/>
    </row>
    <row r="16" spans="1:6" ht="24" customHeight="1">
      <c r="A16" s="4" t="s">
        <v>749</v>
      </c>
      <c r="B16" s="4"/>
      <c r="C16" s="4"/>
      <c r="D16" s="4"/>
      <c r="E16" s="4"/>
      <c r="F16" s="4"/>
    </row>
    <row r="17" spans="1:6" ht="19.5" customHeight="1">
      <c r="A17" s="46" t="s">
        <v>750</v>
      </c>
      <c r="B17" s="3">
        <f>COUNTA(Creditor_Debtor_Network!A2:A500)</f>
        <v>80</v>
      </c>
      <c r="C17" s="3"/>
    </row>
    <row r="18" spans="1:6" ht="19.5" customHeight="1">
      <c r="A18" s="47" t="s">
        <v>751</v>
      </c>
      <c r="B18" s="2">
        <f>COUNTIF(Creditor_Debtor_Network!N2:N500,"Y")</f>
        <v>27</v>
      </c>
      <c r="C18" s="2"/>
    </row>
    <row r="19" spans="1:6" ht="19.5" customHeight="1">
      <c r="A19" s="46" t="s">
        <v>752</v>
      </c>
      <c r="B19" s="3">
        <f>COUNTIF(Creditor_Debtor_Network!O2:O500,"Land")</f>
        <v>24</v>
      </c>
      <c r="C19" s="3"/>
    </row>
    <row r="20" spans="1:6" ht="19.5" customHeight="1">
      <c r="A20" s="47" t="s">
        <v>753</v>
      </c>
      <c r="B20" s="2">
        <f>COUNTIF(Creditor_Debtor_Network!Q2:Q500,"Recurring")</f>
        <v>16</v>
      </c>
      <c r="C20" s="2"/>
    </row>
    <row r="23" spans="1:6" ht="24" customHeight="1">
      <c r="A23" s="4" t="s">
        <v>754</v>
      </c>
      <c r="B23" s="4"/>
      <c r="C23" s="4"/>
      <c r="D23" s="4"/>
      <c r="E23" s="4"/>
      <c r="F23" s="4"/>
    </row>
    <row r="24" spans="1:6" ht="19.5" customHeight="1">
      <c r="A24" s="46" t="s">
        <v>755</v>
      </c>
      <c r="B24" s="3">
        <f>COUNTA(Execution_Clusters_GIS!A2:A200)</f>
        <v>26</v>
      </c>
      <c r="C24" s="3"/>
    </row>
    <row r="25" spans="1:6" ht="19.5" customHeight="1">
      <c r="A25" s="47" t="s">
        <v>756</v>
      </c>
      <c r="B25" s="2">
        <f>COUNTIF(Execution_Clusters_GIS!N2:N200,"High")</f>
        <v>12</v>
      </c>
      <c r="C25" s="2"/>
    </row>
    <row r="26" spans="1:6" ht="19.5" customHeight="1">
      <c r="A26" s="46" t="s">
        <v>757</v>
      </c>
      <c r="B26" s="3">
        <f>COUNTIF(Execution_Clusters_GIS!J2:J200,"Creditor")</f>
        <v>12</v>
      </c>
      <c r="C26" s="3"/>
    </row>
    <row r="27" spans="1:6" ht="19.5" customHeight="1">
      <c r="A27" s="47" t="s">
        <v>758</v>
      </c>
      <c r="B27" s="2">
        <f>SUM(Execution_Clusters_GIS!H2:H200)</f>
        <v>503</v>
      </c>
      <c r="C27" s="2"/>
    </row>
    <row r="28" spans="1:6" ht="19.5" customHeight="1">
      <c r="A28" s="46" t="s">
        <v>759</v>
      </c>
      <c r="B28" s="3">
        <f>SUM(Execution_Clusters_GIS!I2:I200)</f>
        <v>5625</v>
      </c>
      <c r="C28" s="3"/>
    </row>
    <row r="31" spans="1:6" ht="24" customHeight="1">
      <c r="A31" s="4" t="s">
        <v>760</v>
      </c>
      <c r="B31" s="4"/>
      <c r="C31" s="4"/>
      <c r="D31" s="4"/>
      <c r="E31" s="4"/>
      <c r="F31" s="4"/>
    </row>
    <row r="32" spans="1:6" ht="19.5" customHeight="1">
      <c r="A32" s="46" t="s">
        <v>761</v>
      </c>
      <c r="B32" s="3">
        <f>COUNTA(Delay_Patterns_Analysis!A2:A500)</f>
        <v>90</v>
      </c>
      <c r="C32" s="3"/>
    </row>
    <row r="33" spans="1:3" ht="19.5" customHeight="1">
      <c r="A33" s="47" t="s">
        <v>762</v>
      </c>
      <c r="B33" s="2">
        <f>ROUND(AVERAGEIF(Delay_Patterns_Analysis!B2:B500,"Bombay",Delay_Patterns_Analysis!K2:K500),1)</f>
        <v>18.8</v>
      </c>
      <c r="C33" s="2"/>
    </row>
    <row r="34" spans="1:3" ht="19.5" customHeight="1">
      <c r="A34" s="46" t="s">
        <v>763</v>
      </c>
      <c r="B34" s="3">
        <f>ROUND(AVERAGEIF(Delay_Patterns_Analysis!B2:B500,"Punjab",Delay_Patterns_Analysis!K2:K500),1)</f>
        <v>34.4</v>
      </c>
      <c r="C34" s="3"/>
    </row>
    <row r="35" spans="1:3" ht="19.5" customHeight="1">
      <c r="A35" s="47" t="s">
        <v>764</v>
      </c>
      <c r="B35" s="2">
        <f>COUNTIF(Delay_Patterns_Analysis!O2:O500,"Rapid (&lt;12m)")</f>
        <v>3</v>
      </c>
      <c r="C35" s="2"/>
    </row>
    <row r="36" spans="1:3" ht="19.5" customHeight="1">
      <c r="A36" s="46" t="s">
        <v>765</v>
      </c>
      <c r="B36" s="3">
        <f>COUNTIF(Delay_Patterns_Analysis!O2:O500,"Extended (&gt;48m)")</f>
        <v>5</v>
      </c>
      <c r="C36" s="3"/>
    </row>
    <row r="37" spans="1:3" ht="19.5" customHeight="1">
      <c r="A37" s="47" t="s">
        <v>766</v>
      </c>
      <c r="B37" s="1">
        <f>IFERROR(COUNTIF(Delay_Patterns_Analysis!L2:L500,"Y")/COUNTA(Delay_Patterns_Analysis!A2:A500),0)</f>
        <v>0.42222222222222222</v>
      </c>
      <c r="C37" s="1"/>
    </row>
  </sheetData>
  <mergeCells count="30">
    <mergeCell ref="B33:C33"/>
    <mergeCell ref="B34:C34"/>
    <mergeCell ref="B35:C35"/>
    <mergeCell ref="B36:C36"/>
    <mergeCell ref="B37:C37"/>
    <mergeCell ref="B26:C26"/>
    <mergeCell ref="B27:C27"/>
    <mergeCell ref="B28:C28"/>
    <mergeCell ref="A31:F31"/>
    <mergeCell ref="B32:C32"/>
    <mergeCell ref="B19:C19"/>
    <mergeCell ref="B20:C20"/>
    <mergeCell ref="A23:F23"/>
    <mergeCell ref="B24:C24"/>
    <mergeCell ref="B25:C25"/>
    <mergeCell ref="B12:C12"/>
    <mergeCell ref="B13:C13"/>
    <mergeCell ref="A16:F16"/>
    <mergeCell ref="B17:C17"/>
    <mergeCell ref="B18:C18"/>
    <mergeCell ref="B7:C7"/>
    <mergeCell ref="B8:C8"/>
    <mergeCell ref="B9:C9"/>
    <mergeCell ref="B10:C10"/>
    <mergeCell ref="B11:C11"/>
    <mergeCell ref="A1:F1"/>
    <mergeCell ref="A2:F2"/>
    <mergeCell ref="A4:F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Civil_Debt_Cases</vt:lpstr>
      <vt:lpstr>CodeBook_Systematized</vt:lpstr>
      <vt:lpstr>CodeBook_Raw</vt:lpstr>
      <vt:lpstr>Creditor_Debtor_Network</vt:lpstr>
      <vt:lpstr>Execution_Clusters_GIS</vt:lpstr>
      <vt:lpstr>Delay_Patterns_Analysis</vt:lpstr>
      <vt:lpstr>Summary_Dashboard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Kaur, Gurmeen</dc:creator>
  <dc:description/>
  <cp:lastModifiedBy>Kaur, Gurmeen</cp:lastModifiedBy>
  <cp:revision>0</cp:revision>
  <dcterms:created xsi:type="dcterms:W3CDTF">2026-02-14T00:07:04Z</dcterms:created>
  <dcterms:modified xsi:type="dcterms:W3CDTF">2026-06-18T19:54:22Z</dcterms:modified>
  <dc:language>en-US</dc:language>
</cp:coreProperties>
</file>